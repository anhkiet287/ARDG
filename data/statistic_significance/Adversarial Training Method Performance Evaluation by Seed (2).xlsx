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<sst xmlns="http://schemas.openxmlformats.org/spreadsheetml/2006/main" count="892" uniqueCount="607">
  <si>
    <t>Method</t>
  </si>
  <si>
    <t>Seed</t>
  </si>
  <si>
    <t>Clean</t>
  </si>
  <si>
    <t>Tpgd</t>
  </si>
  <si>
    <t>Fgsm_rs</t>
  </si>
  <si>
    <t>Pgd_l2</t>
  </si>
  <si>
    <t>Deepfool_l2</t>
  </si>
  <si>
    <t>Ddn_l2</t>
  </si>
  <si>
    <t>Cw_l2</t>
  </si>
  <si>
    <t>Mifgsm</t>
  </si>
  <si>
    <t>Pgd20_ce</t>
  </si>
  <si>
    <t>Mean robust</t>
  </si>
  <si>
    <t>Worst robust</t>
  </si>
  <si>
    <t>attackdro_pp_anchor035_gradfp_online_k4</t>
  </si>
  <si>
    <t>7</t>
  </si>
  <si>
    <t>0.8456</t>
  </si>
  <si>
    <t>0.6689</t>
  </si>
  <si>
    <t>0.6860</t>
  </si>
  <si>
    <t>0.6965</t>
  </si>
  <si>
    <t>0.6784</t>
  </si>
  <si>
    <t>0.6713</t>
  </si>
  <si>
    <t>0.6578</t>
  </si>
  <si>
    <t>0.4764</t>
  </si>
  <si>
    <t>0.4513</t>
  </si>
  <si>
    <t>13</t>
  </si>
  <si>
    <t>0.8416</t>
  </si>
  <si>
    <t>0.6708</t>
  </si>
  <si>
    <t>0.6874</t>
  </si>
  <si>
    <t>0.6945</t>
  </si>
  <si>
    <t>0.6782</t>
  </si>
  <si>
    <t>0.6702</t>
  </si>
  <si>
    <t>0.6553</t>
  </si>
  <si>
    <t>0.4791</t>
  </si>
  <si>
    <t>0.4533</t>
  </si>
  <si>
    <t>21</t>
  </si>
  <si>
    <t>0.8454</t>
  </si>
  <si>
    <t>0.6653</t>
  </si>
  <si>
    <t>0.6926</t>
  </si>
  <si>
    <t>0.6995</t>
  </si>
  <si>
    <t>0.6823</t>
  </si>
  <si>
    <t>0.6746</t>
  </si>
  <si>
    <t>0.6588</t>
  </si>
  <si>
    <t>0.4734</t>
  </si>
  <si>
    <t>0.4499</t>
  </si>
  <si>
    <t>42</t>
  </si>
  <si>
    <t>0.8477</t>
  </si>
  <si>
    <t>0.6803</t>
  </si>
  <si>
    <t>0.6906</t>
  </si>
  <si>
    <t>0.6992</t>
  </si>
  <si>
    <t>0.6765</t>
  </si>
  <si>
    <t>0.6720</t>
  </si>
  <si>
    <t>0.4769</t>
  </si>
  <si>
    <t>0.4527</t>
  </si>
  <si>
    <t>73</t>
  </si>
  <si>
    <t>0.8482</t>
  </si>
  <si>
    <t>0.6789</t>
  </si>
  <si>
    <t>0.6871</t>
  </si>
  <si>
    <t>0.6930</t>
  </si>
  <si>
    <t>0.6767</t>
  </si>
  <si>
    <t>0.6710</t>
  </si>
  <si>
    <t>0.6547</t>
  </si>
  <si>
    <t>0.4747</t>
  </si>
  <si>
    <t>0.4516</t>
  </si>
  <si>
    <t>101</t>
  </si>
  <si>
    <t>0.8458</t>
  </si>
  <si>
    <t>0.6672</t>
  </si>
  <si>
    <t>0.6913</t>
  </si>
  <si>
    <t>0.6973</t>
  </si>
  <si>
    <t>0.6779</t>
  </si>
  <si>
    <t>0.6714</t>
  </si>
  <si>
    <t>0.6574</t>
  </si>
  <si>
    <t>0.4765</t>
  </si>
  <si>
    <t>0.4530</t>
  </si>
  <si>
    <t>123</t>
  </si>
  <si>
    <t>0.6701</t>
  </si>
  <si>
    <t>0.6892</t>
  </si>
  <si>
    <t>0.6939</t>
  </si>
  <si>
    <t>0.6750</t>
  </si>
  <si>
    <t>0.6557</t>
  </si>
  <si>
    <t>0.4510</t>
  </si>
  <si>
    <t>202</t>
  </si>
  <si>
    <t>0.8475</t>
  </si>
  <si>
    <t>0.6670</t>
  </si>
  <si>
    <t>0.6893</t>
  </si>
  <si>
    <t>0.6987</t>
  </si>
  <si>
    <t>0.6791</t>
  </si>
  <si>
    <t>0.6715</t>
  </si>
  <si>
    <t>0.6546</t>
  </si>
  <si>
    <t>0.4742</t>
  </si>
  <si>
    <t>0.4504</t>
  </si>
  <si>
    <t>314</t>
  </si>
  <si>
    <t>0.8483</t>
  </si>
  <si>
    <t>0.6723</t>
  </si>
  <si>
    <t>0.6909</t>
  </si>
  <si>
    <t>0.6936</t>
  </si>
  <si>
    <t>0.6806</t>
  </si>
  <si>
    <t>0.6725</t>
  </si>
  <si>
    <t>0.6585</t>
  </si>
  <si>
    <t>0.4756</t>
  </si>
  <si>
    <t>0.4535</t>
  </si>
  <si>
    <t>456</t>
  </si>
  <si>
    <t>0.8468</t>
  </si>
  <si>
    <t>0.6679</t>
  </si>
  <si>
    <t>0.6914</t>
  </si>
  <si>
    <t>0.6983</t>
  </si>
  <si>
    <t>0.6818</t>
  </si>
  <si>
    <t>0.6754</t>
  </si>
  <si>
    <t>0.4730</t>
  </si>
  <si>
    <t>0.4505</t>
  </si>
  <si>
    <t>512</t>
  </si>
  <si>
    <t>0.8466</t>
  </si>
  <si>
    <t>0.6700</t>
  </si>
  <si>
    <t>0.6865</t>
  </si>
  <si>
    <t>0.6948</t>
  </si>
  <si>
    <t>0.6751</t>
  </si>
  <si>
    <t>0.6674</t>
  </si>
  <si>
    <t>0.6535</t>
  </si>
  <si>
    <t>0.4745</t>
  </si>
  <si>
    <t>789</t>
  </si>
  <si>
    <t>0.8471</t>
  </si>
  <si>
    <t>0.6866</t>
  </si>
  <si>
    <t>0.6938</t>
  </si>
  <si>
    <t>0.6758</t>
  </si>
  <si>
    <t>0.6707</t>
  </si>
  <si>
    <t>0.6543</t>
  </si>
  <si>
    <t>0.4735</t>
  </si>
  <si>
    <t>0.4511</t>
  </si>
  <si>
    <t>999</t>
  </si>
  <si>
    <t>0.8469</t>
  </si>
  <si>
    <t>0.6642</t>
  </si>
  <si>
    <t>0.6955</t>
  </si>
  <si>
    <t>0.6786</t>
  </si>
  <si>
    <t>0.6706</t>
  </si>
  <si>
    <t>0.4722</t>
  </si>
  <si>
    <t>0.4487</t>
  </si>
  <si>
    <t>1024</t>
  </si>
  <si>
    <t>0.8460</t>
  </si>
  <si>
    <t>0.6675</t>
  </si>
  <si>
    <t>0.6882</t>
  </si>
  <si>
    <t>0.6918</t>
  </si>
  <si>
    <t>0.6763</t>
  </si>
  <si>
    <t>0.6684</t>
  </si>
  <si>
    <t>0.6522</t>
  </si>
  <si>
    <t>0.4731</t>
  </si>
  <si>
    <t>0.4484</t>
  </si>
  <si>
    <t>1337</t>
  </si>
  <si>
    <t>0.6731</t>
  </si>
  <si>
    <t>0.6933</t>
  </si>
  <si>
    <t>0.6993</t>
  </si>
  <si>
    <t>0.6832</t>
  </si>
  <si>
    <t>0.6748</t>
  </si>
  <si>
    <t>0.6596</t>
  </si>
  <si>
    <t>0.4748</t>
  </si>
  <si>
    <t>0.4508</t>
  </si>
  <si>
    <t>2048</t>
  </si>
  <si>
    <t>0.8450</t>
  </si>
  <si>
    <t>0.6894</t>
  </si>
  <si>
    <t>4096</t>
  </si>
  <si>
    <t>0.8455</t>
  </si>
  <si>
    <t>0.6739</t>
  </si>
  <si>
    <t>0.6887</t>
  </si>
  <si>
    <t>0.6937</t>
  </si>
  <si>
    <t>0.6745</t>
  </si>
  <si>
    <t>0.6691</t>
  </si>
  <si>
    <t>0.6549</t>
  </si>
  <si>
    <t>0.4728</t>
  </si>
  <si>
    <t>0.4491</t>
  </si>
  <si>
    <t>7777</t>
  </si>
  <si>
    <t>0.8433</t>
  </si>
  <si>
    <t>0.6929</t>
  </si>
  <si>
    <t>0.6735</t>
  </si>
  <si>
    <t>0.6692</t>
  </si>
  <si>
    <t>0.4560</t>
  </si>
  <si>
    <t>12345</t>
  </si>
  <si>
    <t>0.8476</t>
  </si>
  <si>
    <t>0.6688</t>
  </si>
  <si>
    <t>0.6932</t>
  </si>
  <si>
    <t>0.6974</t>
  </si>
  <si>
    <t>0.6810</t>
  </si>
  <si>
    <t>0.6709</t>
  </si>
  <si>
    <t>0.6584</t>
  </si>
  <si>
    <t>0.4736</t>
  </si>
  <si>
    <t>0.4476</t>
  </si>
  <si>
    <t>202405</t>
  </si>
  <si>
    <t>0.8461</t>
  </si>
  <si>
    <t>0.6669</t>
  </si>
  <si>
    <t>0.6950</t>
  </si>
  <si>
    <t>0.6774</t>
  </si>
  <si>
    <t>0.6693</t>
  </si>
  <si>
    <t>0.6532</t>
  </si>
  <si>
    <t>0.4709</t>
  </si>
  <si>
    <t>0.4451</t>
  </si>
  <si>
    <t>multi_attack_pgd_linf_ddn_l2_mb</t>
  </si>
  <si>
    <t>0.8497</t>
  </si>
  <si>
    <t>0.6661</t>
  </si>
  <si>
    <t>0.6883</t>
  </si>
  <si>
    <t>0.6962</t>
  </si>
  <si>
    <t>0.6733</t>
  </si>
  <si>
    <t>0.6551</t>
  </si>
  <si>
    <t>0.4719</t>
  </si>
  <si>
    <t>0.4495</t>
  </si>
  <si>
    <t>0.8422</t>
  </si>
  <si>
    <t>0.6719</t>
  </si>
  <si>
    <t>0.6898</t>
  </si>
  <si>
    <t>0.6984</t>
  </si>
  <si>
    <t>0.6572</t>
  </si>
  <si>
    <t>0.4720</t>
  </si>
  <si>
    <t>0.4465</t>
  </si>
  <si>
    <t>0.8451</t>
  </si>
  <si>
    <t>0.6730</t>
  </si>
  <si>
    <t>0.6908</t>
  </si>
  <si>
    <t>0.6772</t>
  </si>
  <si>
    <t>0.6722</t>
  </si>
  <si>
    <t>0.6567</t>
  </si>
  <si>
    <t>0.4780</t>
  </si>
  <si>
    <t>0.4541</t>
  </si>
  <si>
    <t>0.8414</t>
  </si>
  <si>
    <t>0.6729</t>
  </si>
  <si>
    <t>0.6872</t>
  </si>
  <si>
    <t>0.6944</t>
  </si>
  <si>
    <t>0.6568</t>
  </si>
  <si>
    <t>0.4721</t>
  </si>
  <si>
    <t>0.4498</t>
  </si>
  <si>
    <t>0.8473</t>
  </si>
  <si>
    <t>0.6704</t>
  </si>
  <si>
    <t>0.6726</t>
  </si>
  <si>
    <t>0.6526</t>
  </si>
  <si>
    <t>0.4497</t>
  </si>
  <si>
    <t>0.8484</t>
  </si>
  <si>
    <t>0.6895</t>
  </si>
  <si>
    <t>0.6561</t>
  </si>
  <si>
    <t>0.4752</t>
  </si>
  <si>
    <t>0.4521</t>
  </si>
  <si>
    <t>0.6742</t>
  </si>
  <si>
    <t>0.6969</t>
  </si>
  <si>
    <t>0.4753</t>
  </si>
  <si>
    <t>0.4512</t>
  </si>
  <si>
    <t>0.8388</t>
  </si>
  <si>
    <t>0.6760</t>
  </si>
  <si>
    <t>0.6816</t>
  </si>
  <si>
    <t>0.6665</t>
  </si>
  <si>
    <t>0.6650</t>
  </si>
  <si>
    <t>0.6499</t>
  </si>
  <si>
    <t>0.4675</t>
  </si>
  <si>
    <t>0.4483</t>
  </si>
  <si>
    <t>0.6905</t>
  </si>
  <si>
    <t>0.6966</t>
  </si>
  <si>
    <t>0.6718</t>
  </si>
  <si>
    <t>0.4740</t>
  </si>
  <si>
    <t>0.8505</t>
  </si>
  <si>
    <t>0.6732</t>
  </si>
  <si>
    <t>0.6957</t>
  </si>
  <si>
    <t>0.6556</t>
  </si>
  <si>
    <t>0.4777</t>
  </si>
  <si>
    <t>0.4534</t>
  </si>
  <si>
    <t>0.6673</t>
  </si>
  <si>
    <t>0.6790</t>
  </si>
  <si>
    <t>0.6600</t>
  </si>
  <si>
    <t>0.4517</t>
  </si>
  <si>
    <t>0.826</t>
  </si>
  <si>
    <t>0.6620</t>
  </si>
  <si>
    <t>0.6602</t>
  </si>
  <si>
    <t>0.6421</t>
  </si>
  <si>
    <t>0.4690</t>
  </si>
  <si>
    <t>0.4480</t>
  </si>
  <si>
    <t>0.8354</t>
  </si>
  <si>
    <t>0.6608</t>
  </si>
  <si>
    <t>0.6851</t>
  </si>
  <si>
    <t>0.6636</t>
  </si>
  <si>
    <t>0.6628</t>
  </si>
  <si>
    <t>0.6461</t>
  </si>
  <si>
    <t>0.4766</t>
  </si>
  <si>
    <t>0.4563</t>
  </si>
  <si>
    <t>0.8304</t>
  </si>
  <si>
    <t>0.6696</t>
  </si>
  <si>
    <t>0.6855</t>
  </si>
  <si>
    <t>0.6652</t>
  </si>
  <si>
    <t>0.6624</t>
  </si>
  <si>
    <t>0.6447</t>
  </si>
  <si>
    <t>0.4689</t>
  </si>
  <si>
    <t>0.8259</t>
  </si>
  <si>
    <t>0.6593</t>
  </si>
  <si>
    <t>0.6850</t>
  </si>
  <si>
    <t>0.6660</t>
  </si>
  <si>
    <t>0.6617</t>
  </si>
  <si>
    <t>0.6465</t>
  </si>
  <si>
    <t>0.4705</t>
  </si>
  <si>
    <t>0.8391</t>
  </si>
  <si>
    <t>0.6830</t>
  </si>
  <si>
    <t>0.6886</t>
  </si>
  <si>
    <t>0.6633</t>
  </si>
  <si>
    <t>0.6458</t>
  </si>
  <si>
    <t>0.4723</t>
  </si>
  <si>
    <t>0.833</t>
  </si>
  <si>
    <t>0.6668</t>
  </si>
  <si>
    <t>0.6793</t>
  </si>
  <si>
    <t>0.6854</t>
  </si>
  <si>
    <t>0.6695</t>
  </si>
  <si>
    <t>0.6640</t>
  </si>
  <si>
    <t>0.6495</t>
  </si>
  <si>
    <t>0.6971</t>
  </si>
  <si>
    <t>0.4806</t>
  </si>
  <si>
    <t>0.4571</t>
  </si>
  <si>
    <t>0.6915</t>
  </si>
  <si>
    <t>0.6980</t>
  </si>
  <si>
    <t>0.6569</t>
  </si>
  <si>
    <t>0.4744</t>
  </si>
  <si>
    <t>0.4507</t>
  </si>
  <si>
    <t>0.8286</t>
  </si>
  <si>
    <t>0.6778</t>
  </si>
  <si>
    <t>0.6839</t>
  </si>
  <si>
    <t>0.6612</t>
  </si>
  <si>
    <t>0.6462</t>
  </si>
  <si>
    <t>single_at_ddn_l2</t>
  </si>
  <si>
    <t>0.8914</t>
  </si>
  <si>
    <t>0.5974</t>
  </si>
  <si>
    <t>0.6459</t>
  </si>
  <si>
    <t>0.6837</t>
  </si>
  <si>
    <t>0.6583</t>
  </si>
  <si>
    <t>0.6470</t>
  </si>
  <si>
    <t>0.3111</t>
  </si>
  <si>
    <t>0.2585</t>
  </si>
  <si>
    <t>0.8951</t>
  </si>
  <si>
    <t>0.5916</t>
  </si>
  <si>
    <t>0.6531</t>
  </si>
  <si>
    <t>0.6985</t>
  </si>
  <si>
    <t>0.6878</t>
  </si>
  <si>
    <t>0.6625</t>
  </si>
  <si>
    <t>0.6545</t>
  </si>
  <si>
    <t>0.3032</t>
  </si>
  <si>
    <t>0.2561</t>
  </si>
  <si>
    <t>0.8917</t>
  </si>
  <si>
    <t>0.5941</t>
  </si>
  <si>
    <t>0.6494</t>
  </si>
  <si>
    <t>0.6961</t>
  </si>
  <si>
    <t>0.6838</t>
  </si>
  <si>
    <t>0.6613</t>
  </si>
  <si>
    <t>0.6529</t>
  </si>
  <si>
    <t>0.3066</t>
  </si>
  <si>
    <t>0.2605</t>
  </si>
  <si>
    <t>0.8954</t>
  </si>
  <si>
    <t>0.6473</t>
  </si>
  <si>
    <t>0.6977</t>
  </si>
  <si>
    <t>0.6825</t>
  </si>
  <si>
    <t>0.6489</t>
  </si>
  <si>
    <t>0.3033</t>
  </si>
  <si>
    <t>0.2557</t>
  </si>
  <si>
    <t>0.8924</t>
  </si>
  <si>
    <t>0.6000</t>
  </si>
  <si>
    <t>0.6515</t>
  </si>
  <si>
    <t>0.7008</t>
  </si>
  <si>
    <t>0.6876</t>
  </si>
  <si>
    <t>0.6645</t>
  </si>
  <si>
    <t>0.6537</t>
  </si>
  <si>
    <t>0.3136</t>
  </si>
  <si>
    <t>0.2654</t>
  </si>
  <si>
    <t>0.6006</t>
  </si>
  <si>
    <t>0.6506</t>
  </si>
  <si>
    <t>0.6542</t>
  </si>
  <si>
    <t>0.3074</t>
  </si>
  <si>
    <t>0.2562</t>
  </si>
  <si>
    <t>0.8927</t>
  </si>
  <si>
    <t>0.5883</t>
  </si>
  <si>
    <t>0.6479</t>
  </si>
  <si>
    <t>0.6949</t>
  </si>
  <si>
    <t>0.6802</t>
  </si>
  <si>
    <t>0.6581</t>
  </si>
  <si>
    <t>0.3037</t>
  </si>
  <si>
    <t>0.2558</t>
  </si>
  <si>
    <t>0.8907</t>
  </si>
  <si>
    <t>0.5839</t>
  </si>
  <si>
    <t>0.6446</t>
  </si>
  <si>
    <t>0.6947</t>
  </si>
  <si>
    <t>0.6768</t>
  </si>
  <si>
    <t>0.6472</t>
  </si>
  <si>
    <t>0.2597</t>
  </si>
  <si>
    <t>0.8919</t>
  </si>
  <si>
    <t>0.5882</t>
  </si>
  <si>
    <t>0.3067</t>
  </si>
  <si>
    <t>0.2575</t>
  </si>
  <si>
    <t>0.898</t>
  </si>
  <si>
    <t>0.5953</t>
  </si>
  <si>
    <t>0.6513</t>
  </si>
  <si>
    <t>0.6986</t>
  </si>
  <si>
    <t>0.6804</t>
  </si>
  <si>
    <t>0.6631</t>
  </si>
  <si>
    <t>0.6525</t>
  </si>
  <si>
    <t>0.3076</t>
  </si>
  <si>
    <t>0.8873</t>
  </si>
  <si>
    <t>0.6005</t>
  </si>
  <si>
    <t>0.6412</t>
  </si>
  <si>
    <t>0.6901</t>
  </si>
  <si>
    <t>0.6552</t>
  </si>
  <si>
    <t>0.3093</t>
  </si>
  <si>
    <t>0.2655</t>
  </si>
  <si>
    <t>0.891</t>
  </si>
  <si>
    <t>0.5985</t>
  </si>
  <si>
    <t>0.6507</t>
  </si>
  <si>
    <t>0.6824</t>
  </si>
  <si>
    <t>0.6627</t>
  </si>
  <si>
    <t>0.6538</t>
  </si>
  <si>
    <t>0.3062</t>
  </si>
  <si>
    <t>0.2592</t>
  </si>
  <si>
    <t>0.8865</t>
  </si>
  <si>
    <t>0.5952</t>
  </si>
  <si>
    <t>0.6954</t>
  </si>
  <si>
    <t>0.6518</t>
  </si>
  <si>
    <t>0.3126</t>
  </si>
  <si>
    <t>0.2681</t>
  </si>
  <si>
    <t>0.8923</t>
  </si>
  <si>
    <t>0.5957</t>
  </si>
  <si>
    <t>0.6497</t>
  </si>
  <si>
    <t>0.6811</t>
  </si>
  <si>
    <t>0.6607</t>
  </si>
  <si>
    <t>0.6503</t>
  </si>
  <si>
    <t>0.3070</t>
  </si>
  <si>
    <t>0.2612</t>
  </si>
  <si>
    <t>0.8899</t>
  </si>
  <si>
    <t>0.5875</t>
  </si>
  <si>
    <t>0.6475</t>
  </si>
  <si>
    <t>0.6959</t>
  </si>
  <si>
    <t>0.6836</t>
  </si>
  <si>
    <t>0.6521</t>
  </si>
  <si>
    <t>0.2651</t>
  </si>
  <si>
    <t>0.895</t>
  </si>
  <si>
    <t>0.6527</t>
  </si>
  <si>
    <t>0.7009</t>
  </si>
  <si>
    <t>0.6884</t>
  </si>
  <si>
    <t>0.6663</t>
  </si>
  <si>
    <t>0.3043</t>
  </si>
  <si>
    <t>0.2576</t>
  </si>
  <si>
    <t>0.8882</t>
  </si>
  <si>
    <t>0.5834</t>
  </si>
  <si>
    <t>0.6468</t>
  </si>
  <si>
    <t>0.6589</t>
  </si>
  <si>
    <t>0.6481</t>
  </si>
  <si>
    <t>0.3007</t>
  </si>
  <si>
    <t>0.2578</t>
  </si>
  <si>
    <t>0.8867</t>
  </si>
  <si>
    <t>0.5843</t>
  </si>
  <si>
    <t>0.6466</t>
  </si>
  <si>
    <t>0.6826</t>
  </si>
  <si>
    <t>0.3031</t>
  </si>
  <si>
    <t>0.2546</t>
  </si>
  <si>
    <t>0.8929</t>
  </si>
  <si>
    <t>0.5896</t>
  </si>
  <si>
    <t>0.6847</t>
  </si>
  <si>
    <t>0.6615</t>
  </si>
  <si>
    <t>0.3034</t>
  </si>
  <si>
    <t>0.2572</t>
  </si>
  <si>
    <t>0.8916</t>
  </si>
  <si>
    <t>0.5997</t>
  </si>
  <si>
    <t>0.6502</t>
  </si>
  <si>
    <t>0.6963</t>
  </si>
  <si>
    <t>0.6849</t>
  </si>
  <si>
    <t>0.6629</t>
  </si>
  <si>
    <t>0.6520</t>
  </si>
  <si>
    <t>0.3052</t>
  </si>
  <si>
    <t>0.2601</t>
  </si>
  <si>
    <t>single_at_pgd_linf</t>
  </si>
  <si>
    <t>0.8138</t>
  </si>
  <si>
    <t>0.6863</t>
  </si>
  <si>
    <t>0.6508</t>
  </si>
  <si>
    <t>0.6342</t>
  </si>
  <si>
    <t>0.6126</t>
  </si>
  <si>
    <t>0.5980</t>
  </si>
  <si>
    <t>0.5126</t>
  </si>
  <si>
    <t>0.4984</t>
  </si>
  <si>
    <t>0.8123</t>
  </si>
  <si>
    <t>0.6813</t>
  </si>
  <si>
    <t>0.6464</t>
  </si>
  <si>
    <t>0.6290</t>
  </si>
  <si>
    <t>0.6096</t>
  </si>
  <si>
    <t>0.5967</t>
  </si>
  <si>
    <t>0.5145</t>
  </si>
  <si>
    <t>0.4969</t>
  </si>
  <si>
    <t>0.7987</t>
  </si>
  <si>
    <t>0.6858</t>
  </si>
  <si>
    <t>0.6423</t>
  </si>
  <si>
    <t>0.6238</t>
  </si>
  <si>
    <t>0.6109</t>
  </si>
  <si>
    <t>0.5928</t>
  </si>
  <si>
    <t>0.5100</t>
  </si>
  <si>
    <t>0.4966</t>
  </si>
  <si>
    <t>0.8121</t>
  </si>
  <si>
    <t>0.6891</t>
  </si>
  <si>
    <t>0.6812</t>
  </si>
  <si>
    <t>0.6256</t>
  </si>
  <si>
    <t>0.6048</t>
  </si>
  <si>
    <t>0.5914</t>
  </si>
  <si>
    <t>0.5165</t>
  </si>
  <si>
    <t>0.4978</t>
  </si>
  <si>
    <t>0.8111</t>
  </si>
  <si>
    <t>0.6857</t>
  </si>
  <si>
    <t>0.6283</t>
  </si>
  <si>
    <t>0.6071</t>
  </si>
  <si>
    <t>0.5963</t>
  </si>
  <si>
    <t>0.5094</t>
  </si>
  <si>
    <t>0.4944</t>
  </si>
  <si>
    <t>0.8109</t>
  </si>
  <si>
    <t>0.6496</t>
  </si>
  <si>
    <t>0.6303</t>
  </si>
  <si>
    <t>0.5923</t>
  </si>
  <si>
    <t>0.5171</t>
  </si>
  <si>
    <t>0.7939</t>
  </si>
  <si>
    <t>0.6807</t>
  </si>
  <si>
    <t>0.6698</t>
  </si>
  <si>
    <t>0.6385</t>
  </si>
  <si>
    <t>0.6175</t>
  </si>
  <si>
    <t>0.6064</t>
  </si>
  <si>
    <t>0.5915</t>
  </si>
  <si>
    <t>0.5137</t>
  </si>
  <si>
    <t>0.4987</t>
  </si>
  <si>
    <t>0.8108</t>
  </si>
  <si>
    <t>0.6808</t>
  </si>
  <si>
    <t>0.6425</t>
  </si>
  <si>
    <t>0.6286</t>
  </si>
  <si>
    <t>0.6062</t>
  </si>
  <si>
    <t>0.5123</t>
  </si>
  <si>
    <t>0.4962</t>
  </si>
  <si>
    <t>0.8119</t>
  </si>
  <si>
    <t>0.6827</t>
  </si>
  <si>
    <t>0.6449</t>
  </si>
  <si>
    <t>0.6090</t>
  </si>
  <si>
    <t>0.5942</t>
  </si>
  <si>
    <t>0.5147</t>
  </si>
  <si>
    <t>0.8152</t>
  </si>
  <si>
    <t>0.6831</t>
  </si>
  <si>
    <t>0.6480</t>
  </si>
  <si>
    <t>0.6296</t>
  </si>
  <si>
    <t>0.6091</t>
  </si>
  <si>
    <t>0.5936</t>
  </si>
  <si>
    <t>0.5104</t>
  </si>
  <si>
    <t>0.4939</t>
  </si>
  <si>
    <t>0.8064</t>
  </si>
  <si>
    <t>0.6877</t>
  </si>
  <si>
    <t>0.6799</t>
  </si>
  <si>
    <t>0.6298</t>
  </si>
  <si>
    <t>0.6089</t>
  </si>
  <si>
    <t>0.5931</t>
  </si>
  <si>
    <t>0.5133</t>
  </si>
  <si>
    <t>0.4977</t>
  </si>
  <si>
    <t>0.7907</t>
  </si>
  <si>
    <t>0.6141</t>
  </si>
  <si>
    <t>0.6018</t>
  </si>
  <si>
    <t>0.5849</t>
  </si>
  <si>
    <t>0.5073</t>
  </si>
  <si>
    <t>0.4946</t>
  </si>
  <si>
    <t>0.8069</t>
  </si>
  <si>
    <t>0.6817</t>
  </si>
  <si>
    <t>0.6441</t>
  </si>
  <si>
    <t>0.6233</t>
  </si>
  <si>
    <t>0.6073</t>
  </si>
  <si>
    <t>0.5922</t>
  </si>
  <si>
    <t>0.5153</t>
  </si>
  <si>
    <t>0.4979</t>
  </si>
  <si>
    <t>0.7977</t>
  </si>
  <si>
    <t>0.6414</t>
  </si>
  <si>
    <t>0.6235</t>
  </si>
  <si>
    <t>0.5913</t>
  </si>
  <si>
    <t>0.5109</t>
  </si>
  <si>
    <t>0.4951</t>
  </si>
  <si>
    <t>0.811</t>
  </si>
  <si>
    <t>0.6846</t>
  </si>
  <si>
    <t>0.6301</t>
  </si>
  <si>
    <t>0.6123</t>
  </si>
  <si>
    <t>0.5964</t>
  </si>
  <si>
    <t>0.5130</t>
  </si>
  <si>
    <t>0.4959</t>
  </si>
  <si>
    <t>0.8105</t>
  </si>
  <si>
    <t>0.6815</t>
  </si>
  <si>
    <t>0.6440</t>
  </si>
  <si>
    <t>0.6294</t>
  </si>
  <si>
    <t>0.6070</t>
  </si>
  <si>
    <t>0.5929</t>
  </si>
  <si>
    <t>0.5141</t>
  </si>
  <si>
    <t>0.8011</t>
  </si>
  <si>
    <t>0.6845</t>
  </si>
  <si>
    <t>0.6386</t>
  </si>
  <si>
    <t>0.6224</t>
  </si>
  <si>
    <t>0.6032</t>
  </si>
  <si>
    <t>0.5890</t>
  </si>
  <si>
    <t>0.5116</t>
  </si>
  <si>
    <t>0.4971</t>
  </si>
  <si>
    <t>0.8153</t>
  </si>
  <si>
    <t>0.6864</t>
  </si>
  <si>
    <t>0.6852</t>
  </si>
  <si>
    <t>0.6454</t>
  </si>
  <si>
    <t>0.6323</t>
  </si>
  <si>
    <t>0.5920</t>
  </si>
  <si>
    <t>0.5127</t>
  </si>
  <si>
    <t>0.4955</t>
  </si>
  <si>
    <t>0.7943</t>
  </si>
  <si>
    <t>0.6344</t>
  </si>
  <si>
    <t>0.6106</t>
  </si>
  <si>
    <t>0.6019</t>
  </si>
  <si>
    <t>0.5842</t>
  </si>
  <si>
    <t>0.5092</t>
  </si>
  <si>
    <t>0.4947</t>
  </si>
  <si>
    <t>0.7957</t>
  </si>
  <si>
    <t>0.6711</t>
  </si>
  <si>
    <t>0.6367</t>
  </si>
  <si>
    <t>0.6152</t>
  </si>
  <si>
    <t>0.6024</t>
  </si>
  <si>
    <t>0.5878</t>
  </si>
  <si>
    <t>0.5135</t>
  </si>
  <si>
    <t>0.4993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</si>
</sst>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Mono&quot;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vertical="center" wrapText="0"/>
    </xf>
    <xf quotePrefix="1" borderId="0" fillId="0" fontId="1" numFmtId="0" xfId="0" applyAlignment="1" applyFont="1">
      <alignment horizontal="left" shrinkToFit="0" vertical="center" wrapText="0"/>
    </xf>
    <xf quotePrefix="1" borderId="0" fillId="0" fontId="1" numFmtId="0" xfId="0" applyAlignment="1" applyFont="1">
      <alignment horizontal="left" shrinkToFit="0" vertical="center" wrapText="0"/>
    </xf>
    <xf borderId="0" fillId="2" fontId="2" numFmtId="0" xfId="0" applyAlignment="1" applyFill="1" applyFont="1">
      <alignment shrinkToFit="0" vertical="center" wrapText="0"/>
    </xf>
    <xf borderId="0" fillId="3" fontId="1" numFmtId="0" xfId="0" applyAlignment="1" applyFill="1" applyFont="1">
      <alignment horizontal="left" shrinkToFit="0" vertical="center" wrapText="0"/>
    </xf>
    <xf quotePrefix="1" borderId="0" fillId="3" fontId="1" numFmtId="0" xfId="0" applyAlignment="1" applyFont="1">
      <alignment horizontal="left" readingOrder="0" shrinkToFit="0" vertical="center" wrapText="0"/>
    </xf>
    <xf borderId="0" fillId="3" fontId="1" numFmtId="49" xfId="0" applyAlignment="1" applyFont="1" applyNumberFormat="1">
      <alignment horizontal="left" readingOrder="0" shrinkToFit="0" vertical="center" wrapText="0"/>
    </xf>
    <xf quotePrefix="1" borderId="0" fillId="3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horizontal="left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81" displayName="Robustness_Metrics_Analysis" name="Robustness_Metrics_Analysis" id="1">
  <tableColumns count="13">
    <tableColumn name="Method" id="1"/>
    <tableColumn name="Seed" id="2"/>
    <tableColumn name="Clean" id="3"/>
    <tableColumn name="Tpgd" id="4"/>
    <tableColumn name="Fgsm_rs" id="5"/>
    <tableColumn name="Pgd_l2" id="6"/>
    <tableColumn name="Deepfool_l2" id="7"/>
    <tableColumn name="Ddn_l2" id="8"/>
    <tableColumn name="Cw_l2" id="9"/>
    <tableColumn name="Mifgsm" id="10"/>
    <tableColumn name="Pgd20_ce" id="11"/>
    <tableColumn name="Mean robust" id="12"/>
    <tableColumn name="Worst robust" id="13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  <col customWidth="1" min="7" max="7" width="14.25"/>
    <col customWidth="1" min="11" max="11" width="12.7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</row>
    <row r="2" ht="22.5" customHeight="1">
      <c r="A2" s="5" t="s">
        <v>13</v>
      </c>
      <c r="B2" s="6" t="s">
        <v>14</v>
      </c>
      <c r="C2" s="2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8">
        <f t="array" ref="L2">ROUND(AVERAGE(VALUE(D2:K2))/10000,4)</f>
        <v>0.6233</v>
      </c>
      <c r="M2" s="8">
        <f t="array" ref="M2">ROUND(MIN(VALUE(E2:K2))/10000,4)</f>
        <v>0.4513</v>
      </c>
      <c r="N2" s="4"/>
      <c r="O2" s="4"/>
      <c r="P2" s="4"/>
      <c r="Q2" s="4"/>
      <c r="R2" s="4"/>
      <c r="S2" s="4"/>
      <c r="T2" s="4"/>
      <c r="U2" s="4"/>
      <c r="V2" s="4"/>
    </row>
    <row r="3" ht="22.5" customHeight="1">
      <c r="A3" s="5" t="s">
        <v>13</v>
      </c>
      <c r="B3" s="6" t="s">
        <v>24</v>
      </c>
      <c r="C3" s="2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8">
        <f t="array" ref="L3">ROUND(AVERAGE(VALUE(D3:K3))/10000,4)</f>
        <v>0.6236</v>
      </c>
      <c r="M3" s="8">
        <f t="array" ref="M3">ROUND(MIN(VALUE(E3:K3))/10000,4)</f>
        <v>0.4533</v>
      </c>
      <c r="N3" s="4"/>
      <c r="O3" s="4"/>
      <c r="P3" s="4"/>
      <c r="Q3" s="4"/>
      <c r="R3" s="4"/>
      <c r="S3" s="4"/>
      <c r="T3" s="4"/>
      <c r="U3" s="4"/>
      <c r="V3" s="4"/>
    </row>
    <row r="4" ht="22.5" customHeight="1">
      <c r="A4" s="5" t="s">
        <v>13</v>
      </c>
      <c r="B4" s="6" t="s">
        <v>34</v>
      </c>
      <c r="C4" s="2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40</v>
      </c>
      <c r="I4" s="7" t="s">
        <v>41</v>
      </c>
      <c r="J4" s="7" t="s">
        <v>42</v>
      </c>
      <c r="K4" s="7" t="s">
        <v>43</v>
      </c>
      <c r="L4" s="8">
        <f t="array" ref="L4">ROUND(AVERAGE(VALUE(D4:K4))/10000,4)</f>
        <v>0.6246</v>
      </c>
      <c r="M4" s="8">
        <f t="array" ref="M4">ROUND(MIN(VALUE(E4:K4))/10000,4)</f>
        <v>0.4499</v>
      </c>
      <c r="N4" s="4"/>
      <c r="O4" s="4"/>
      <c r="P4" s="4"/>
      <c r="Q4" s="4"/>
      <c r="R4" s="4"/>
      <c r="S4" s="4"/>
      <c r="T4" s="4"/>
      <c r="U4" s="4"/>
      <c r="V4" s="4"/>
    </row>
    <row r="5" ht="22.5" customHeight="1">
      <c r="A5" s="9" t="s">
        <v>13</v>
      </c>
      <c r="B5" s="10" t="s">
        <v>44</v>
      </c>
      <c r="C5" s="11" t="s">
        <v>45</v>
      </c>
      <c r="D5" s="12" t="s">
        <v>46</v>
      </c>
      <c r="E5" s="12" t="s">
        <v>47</v>
      </c>
      <c r="F5" s="12" t="s">
        <v>48</v>
      </c>
      <c r="G5" s="12" t="s">
        <v>49</v>
      </c>
      <c r="H5" s="12" t="s">
        <v>50</v>
      </c>
      <c r="I5" s="12" t="s">
        <v>21</v>
      </c>
      <c r="J5" s="12" t="s">
        <v>51</v>
      </c>
      <c r="K5" s="12" t="s">
        <v>52</v>
      </c>
      <c r="L5" s="8">
        <f t="array" ref="L5">ROUND(AVERAGE(VALUE(D5:K5))/10000,4)</f>
        <v>0.6258</v>
      </c>
      <c r="M5" s="8">
        <f t="array" ref="M5">ROUND(MIN(VALUE(E5:K5))/10000,4)</f>
        <v>0.4527</v>
      </c>
      <c r="N5" s="13"/>
      <c r="O5" s="13"/>
      <c r="P5" s="13"/>
      <c r="Q5" s="13"/>
      <c r="R5" s="13"/>
      <c r="S5" s="13"/>
      <c r="T5" s="13"/>
      <c r="U5" s="13"/>
      <c r="V5" s="13"/>
    </row>
    <row r="6" ht="22.5" customHeight="1">
      <c r="A6" s="5" t="s">
        <v>13</v>
      </c>
      <c r="B6" s="6" t="s">
        <v>53</v>
      </c>
      <c r="C6" s="2" t="s">
        <v>54</v>
      </c>
      <c r="D6" s="7" t="s">
        <v>55</v>
      </c>
      <c r="E6" s="7" t="s">
        <v>56</v>
      </c>
      <c r="F6" s="7" t="s">
        <v>57</v>
      </c>
      <c r="G6" s="7" t="s">
        <v>58</v>
      </c>
      <c r="H6" s="7" t="s">
        <v>59</v>
      </c>
      <c r="I6" s="7" t="s">
        <v>60</v>
      </c>
      <c r="J6" s="7" t="s">
        <v>61</v>
      </c>
      <c r="K6" s="7" t="s">
        <v>62</v>
      </c>
      <c r="L6" s="8">
        <f t="array" ref="L6">ROUND(AVERAGE(VALUE(D6:K6))/10000,4)</f>
        <v>0.6235</v>
      </c>
      <c r="M6" s="8">
        <f t="array" ref="M6">ROUND(MIN(VALUE(E6:K6))/10000,4)</f>
        <v>0.4516</v>
      </c>
      <c r="N6" s="4"/>
      <c r="O6" s="4"/>
      <c r="P6" s="4"/>
      <c r="Q6" s="4"/>
      <c r="R6" s="4"/>
      <c r="S6" s="4"/>
      <c r="T6" s="4"/>
      <c r="U6" s="4"/>
      <c r="V6" s="4"/>
    </row>
    <row r="7" ht="22.5" customHeight="1">
      <c r="A7" s="5" t="s">
        <v>13</v>
      </c>
      <c r="B7" s="6" t="s">
        <v>63</v>
      </c>
      <c r="C7" s="2" t="s">
        <v>64</v>
      </c>
      <c r="D7" s="7" t="s">
        <v>65</v>
      </c>
      <c r="E7" s="7" t="s">
        <v>66</v>
      </c>
      <c r="F7" s="7" t="s">
        <v>67</v>
      </c>
      <c r="G7" s="7" t="s">
        <v>68</v>
      </c>
      <c r="H7" s="7" t="s">
        <v>69</v>
      </c>
      <c r="I7" s="7" t="s">
        <v>70</v>
      </c>
      <c r="J7" s="7" t="s">
        <v>71</v>
      </c>
      <c r="K7" s="7" t="s">
        <v>72</v>
      </c>
      <c r="L7" s="8">
        <f t="array" ref="L7">ROUND(AVERAGE(VALUE(D7:K7))/10000,4)</f>
        <v>0.624</v>
      </c>
      <c r="M7" s="8">
        <f t="array" ref="M7">ROUND(MIN(VALUE(E7:K7))/10000,4)</f>
        <v>0.453</v>
      </c>
      <c r="N7" s="4"/>
      <c r="O7" s="4"/>
      <c r="P7" s="4"/>
      <c r="Q7" s="4"/>
      <c r="R7" s="4"/>
      <c r="S7" s="4"/>
      <c r="T7" s="4"/>
      <c r="U7" s="4"/>
      <c r="V7" s="4"/>
    </row>
    <row r="8" ht="22.5" customHeight="1">
      <c r="A8" s="5" t="s">
        <v>13</v>
      </c>
      <c r="B8" s="6" t="s">
        <v>73</v>
      </c>
      <c r="C8" s="2" t="s">
        <v>35</v>
      </c>
      <c r="D8" s="7" t="s">
        <v>74</v>
      </c>
      <c r="E8" s="7" t="s">
        <v>75</v>
      </c>
      <c r="F8" s="7" t="s">
        <v>76</v>
      </c>
      <c r="G8" s="7" t="s">
        <v>77</v>
      </c>
      <c r="H8" s="7" t="s">
        <v>30</v>
      </c>
      <c r="I8" s="7" t="s">
        <v>78</v>
      </c>
      <c r="J8" s="7" t="s">
        <v>22</v>
      </c>
      <c r="K8" s="7" t="s">
        <v>79</v>
      </c>
      <c r="L8" s="8">
        <f t="array" ref="L8">ROUND(AVERAGE(VALUE(D8:K8))/10000,4)</f>
        <v>0.6227</v>
      </c>
      <c r="M8" s="8">
        <f t="array" ref="M8">ROUND(MIN(VALUE(E8:K8))/10000,4)</f>
        <v>0.451</v>
      </c>
      <c r="N8" s="4"/>
      <c r="O8" s="4"/>
      <c r="P8" s="4"/>
      <c r="Q8" s="4"/>
      <c r="R8" s="4"/>
      <c r="S8" s="4"/>
      <c r="T8" s="4"/>
      <c r="U8" s="4"/>
      <c r="V8" s="4"/>
    </row>
    <row r="9" ht="22.5" customHeight="1">
      <c r="A9" s="5" t="s">
        <v>13</v>
      </c>
      <c r="B9" s="6" t="s">
        <v>80</v>
      </c>
      <c r="C9" s="2" t="s">
        <v>81</v>
      </c>
      <c r="D9" s="7" t="s">
        <v>82</v>
      </c>
      <c r="E9" s="7" t="s">
        <v>83</v>
      </c>
      <c r="F9" s="7" t="s">
        <v>84</v>
      </c>
      <c r="G9" s="7" t="s">
        <v>85</v>
      </c>
      <c r="H9" s="7" t="s">
        <v>86</v>
      </c>
      <c r="I9" s="7" t="s">
        <v>87</v>
      </c>
      <c r="J9" s="7" t="s">
        <v>88</v>
      </c>
      <c r="K9" s="7" t="s">
        <v>89</v>
      </c>
      <c r="L9" s="8">
        <f t="array" ref="L9">ROUND(AVERAGE(VALUE(D9:K9))/10000,4)</f>
        <v>0.6231</v>
      </c>
      <c r="M9" s="8">
        <f t="array" ref="M9">ROUND(MIN(VALUE(E9:K9))/10000,4)</f>
        <v>0.4504</v>
      </c>
      <c r="N9" s="4"/>
      <c r="O9" s="4"/>
      <c r="P9" s="4"/>
      <c r="Q9" s="4"/>
      <c r="R9" s="4"/>
      <c r="S9" s="4"/>
      <c r="T9" s="4"/>
      <c r="U9" s="4"/>
      <c r="V9" s="4"/>
    </row>
    <row r="10" ht="22.5" customHeight="1">
      <c r="A10" s="5" t="s">
        <v>13</v>
      </c>
      <c r="B10" s="6" t="s">
        <v>90</v>
      </c>
      <c r="C10" s="2" t="s">
        <v>91</v>
      </c>
      <c r="D10" s="7" t="s">
        <v>92</v>
      </c>
      <c r="E10" s="7" t="s">
        <v>93</v>
      </c>
      <c r="F10" s="7" t="s">
        <v>94</v>
      </c>
      <c r="G10" s="7" t="s">
        <v>95</v>
      </c>
      <c r="H10" s="7" t="s">
        <v>96</v>
      </c>
      <c r="I10" s="7" t="s">
        <v>97</v>
      </c>
      <c r="J10" s="7" t="s">
        <v>98</v>
      </c>
      <c r="K10" s="7" t="s">
        <v>99</v>
      </c>
      <c r="L10" s="8">
        <f t="array" ref="L10">ROUND(AVERAGE(VALUE(D10:K10))/10000,4)</f>
        <v>0.6247</v>
      </c>
      <c r="M10" s="8">
        <f t="array" ref="M10">ROUND(MIN(VALUE(E10:K10))/10000,4)</f>
        <v>0.4535</v>
      </c>
      <c r="N10" s="4"/>
      <c r="O10" s="4"/>
      <c r="P10" s="4"/>
      <c r="Q10" s="4"/>
      <c r="R10" s="4"/>
      <c r="S10" s="4"/>
      <c r="T10" s="4"/>
      <c r="U10" s="4"/>
      <c r="V10" s="4"/>
    </row>
    <row r="11" ht="22.5" customHeight="1">
      <c r="A11" s="5" t="s">
        <v>13</v>
      </c>
      <c r="B11" s="6" t="s">
        <v>100</v>
      </c>
      <c r="C11" s="2" t="s">
        <v>101</v>
      </c>
      <c r="D11" s="7" t="s">
        <v>102</v>
      </c>
      <c r="E11" s="7" t="s">
        <v>103</v>
      </c>
      <c r="F11" s="7" t="s">
        <v>104</v>
      </c>
      <c r="G11" s="7" t="s">
        <v>105</v>
      </c>
      <c r="H11" s="7" t="s">
        <v>106</v>
      </c>
      <c r="I11" s="7" t="s">
        <v>97</v>
      </c>
      <c r="J11" s="7" t="s">
        <v>107</v>
      </c>
      <c r="K11" s="7" t="s">
        <v>108</v>
      </c>
      <c r="L11" s="8">
        <f t="array" ref="L11">ROUND(AVERAGE(VALUE(D11:K11))/10000,4)</f>
        <v>0.6246</v>
      </c>
      <c r="M11" s="8">
        <f t="array" ref="M11">ROUND(MIN(VALUE(E11:K11))/10000,4)</f>
        <v>0.4505</v>
      </c>
      <c r="N11" s="4"/>
      <c r="O11" s="4"/>
      <c r="P11" s="4"/>
      <c r="Q11" s="4"/>
      <c r="R11" s="4"/>
      <c r="S11" s="4"/>
      <c r="T11" s="4"/>
      <c r="U11" s="4"/>
      <c r="V11" s="4"/>
    </row>
    <row r="12" ht="22.5" customHeight="1">
      <c r="A12" s="5" t="s">
        <v>13</v>
      </c>
      <c r="B12" s="6" t="s">
        <v>109</v>
      </c>
      <c r="C12" s="2" t="s">
        <v>110</v>
      </c>
      <c r="D12" s="7" t="s">
        <v>111</v>
      </c>
      <c r="E12" s="7" t="s">
        <v>112</v>
      </c>
      <c r="F12" s="7" t="s">
        <v>113</v>
      </c>
      <c r="G12" s="7" t="s">
        <v>114</v>
      </c>
      <c r="H12" s="7" t="s">
        <v>115</v>
      </c>
      <c r="I12" s="7" t="s">
        <v>116</v>
      </c>
      <c r="J12" s="7" t="s">
        <v>117</v>
      </c>
      <c r="K12" s="7" t="s">
        <v>79</v>
      </c>
      <c r="L12" s="8">
        <f t="array" ref="L12">ROUND(AVERAGE(VALUE(D12:K12))/10000,4)</f>
        <v>0.6216</v>
      </c>
      <c r="M12" s="8">
        <f t="array" ref="M12">ROUND(MIN(VALUE(E12:K12))/10000,4)</f>
        <v>0.451</v>
      </c>
      <c r="N12" s="4"/>
      <c r="O12" s="4"/>
      <c r="P12" s="4"/>
      <c r="Q12" s="4"/>
      <c r="R12" s="4"/>
      <c r="S12" s="4"/>
      <c r="T12" s="4"/>
      <c r="U12" s="4"/>
      <c r="V12" s="4"/>
    </row>
    <row r="13" ht="22.5" customHeight="1">
      <c r="A13" s="5" t="s">
        <v>13</v>
      </c>
      <c r="B13" s="6" t="s">
        <v>118</v>
      </c>
      <c r="C13" s="2" t="s">
        <v>119</v>
      </c>
      <c r="D13" s="7" t="s">
        <v>96</v>
      </c>
      <c r="E13" s="7" t="s">
        <v>120</v>
      </c>
      <c r="F13" s="7" t="s">
        <v>121</v>
      </c>
      <c r="G13" s="7" t="s">
        <v>122</v>
      </c>
      <c r="H13" s="7" t="s">
        <v>123</v>
      </c>
      <c r="I13" s="7" t="s">
        <v>124</v>
      </c>
      <c r="J13" s="7" t="s">
        <v>125</v>
      </c>
      <c r="K13" s="7" t="s">
        <v>126</v>
      </c>
      <c r="L13" s="8">
        <f t="array" ref="L13">ROUND(AVERAGE(VALUE(D13:K13))/10000,4)</f>
        <v>0.6223</v>
      </c>
      <c r="M13" s="8">
        <f t="array" ref="M13">ROUND(MIN(VALUE(E13:K13))/10000,4)</f>
        <v>0.4511</v>
      </c>
      <c r="N13" s="4"/>
      <c r="O13" s="4"/>
      <c r="P13" s="4"/>
      <c r="Q13" s="4"/>
      <c r="R13" s="4"/>
      <c r="S13" s="4"/>
      <c r="T13" s="4"/>
      <c r="U13" s="4"/>
      <c r="V13" s="4"/>
    </row>
    <row r="14" ht="22.5" customHeight="1">
      <c r="A14" s="5" t="s">
        <v>13</v>
      </c>
      <c r="B14" s="6" t="s">
        <v>127</v>
      </c>
      <c r="C14" s="2" t="s">
        <v>128</v>
      </c>
      <c r="D14" s="7" t="s">
        <v>129</v>
      </c>
      <c r="E14" s="7" t="s">
        <v>93</v>
      </c>
      <c r="F14" s="7" t="s">
        <v>130</v>
      </c>
      <c r="G14" s="7" t="s">
        <v>131</v>
      </c>
      <c r="H14" s="7" t="s">
        <v>132</v>
      </c>
      <c r="I14" s="7" t="s">
        <v>124</v>
      </c>
      <c r="J14" s="7" t="s">
        <v>133</v>
      </c>
      <c r="K14" s="7" t="s">
        <v>134</v>
      </c>
      <c r="L14" s="8">
        <f t="array" ref="L14">ROUND(AVERAGE(VALUE(D14:K14))/10000,4)</f>
        <v>0.6219</v>
      </c>
      <c r="M14" s="8">
        <f t="array" ref="M14">ROUND(MIN(VALUE(E14:K14))/10000,4)</f>
        <v>0.4487</v>
      </c>
      <c r="N14" s="4"/>
      <c r="O14" s="4"/>
      <c r="P14" s="4"/>
      <c r="Q14" s="4"/>
      <c r="R14" s="4"/>
      <c r="S14" s="4"/>
      <c r="T14" s="4"/>
      <c r="U14" s="4"/>
      <c r="V14" s="4"/>
    </row>
    <row r="15" ht="22.5" customHeight="1">
      <c r="A15" s="5" t="s">
        <v>13</v>
      </c>
      <c r="B15" s="6" t="s">
        <v>135</v>
      </c>
      <c r="C15" s="2" t="s">
        <v>136</v>
      </c>
      <c r="D15" s="7" t="s">
        <v>137</v>
      </c>
      <c r="E15" s="7" t="s">
        <v>138</v>
      </c>
      <c r="F15" s="7" t="s">
        <v>139</v>
      </c>
      <c r="G15" s="7" t="s">
        <v>140</v>
      </c>
      <c r="H15" s="7" t="s">
        <v>141</v>
      </c>
      <c r="I15" s="7" t="s">
        <v>142</v>
      </c>
      <c r="J15" s="7" t="s">
        <v>143</v>
      </c>
      <c r="K15" s="7" t="s">
        <v>144</v>
      </c>
      <c r="L15" s="8">
        <f t="array" ref="L15">ROUND(AVERAGE(VALUE(D15:K15))/10000,4)</f>
        <v>0.6207</v>
      </c>
      <c r="M15" s="8">
        <f t="array" ref="M15">ROUND(MIN(VALUE(E15:K15))/10000,4)</f>
        <v>0.4484</v>
      </c>
      <c r="N15" s="4"/>
      <c r="O15" s="4"/>
      <c r="P15" s="4"/>
      <c r="Q15" s="4"/>
      <c r="R15" s="4"/>
      <c r="S15" s="4"/>
      <c r="T15" s="4"/>
      <c r="U15" s="4"/>
      <c r="V15" s="4"/>
    </row>
    <row r="16" ht="22.5" customHeight="1">
      <c r="A16" s="5" t="s">
        <v>13</v>
      </c>
      <c r="B16" s="6" t="s">
        <v>145</v>
      </c>
      <c r="C16" s="2" t="s">
        <v>101</v>
      </c>
      <c r="D16" s="7" t="s">
        <v>146</v>
      </c>
      <c r="E16" s="7" t="s">
        <v>147</v>
      </c>
      <c r="F16" s="7" t="s">
        <v>148</v>
      </c>
      <c r="G16" s="7" t="s">
        <v>149</v>
      </c>
      <c r="H16" s="7" t="s">
        <v>150</v>
      </c>
      <c r="I16" s="7" t="s">
        <v>151</v>
      </c>
      <c r="J16" s="7" t="s">
        <v>152</v>
      </c>
      <c r="K16" s="7" t="s">
        <v>153</v>
      </c>
      <c r="L16" s="8">
        <f t="array" ref="L16">ROUND(AVERAGE(VALUE(D16:K16))/10000,4)</f>
        <v>0.6261</v>
      </c>
      <c r="M16" s="8">
        <f t="array" ref="M16">ROUND(MIN(VALUE(E16:K16))/10000,4)</f>
        <v>0.4508</v>
      </c>
      <c r="N16" s="4"/>
      <c r="O16" s="4"/>
      <c r="P16" s="4"/>
      <c r="Q16" s="4"/>
      <c r="R16" s="4"/>
      <c r="S16" s="4"/>
      <c r="T16" s="4"/>
      <c r="U16" s="4"/>
      <c r="V16" s="4"/>
    </row>
    <row r="17" ht="22.5" customHeight="1">
      <c r="A17" s="5" t="s">
        <v>13</v>
      </c>
      <c r="B17" s="6" t="s">
        <v>154</v>
      </c>
      <c r="C17" s="2" t="s">
        <v>155</v>
      </c>
      <c r="D17" s="7" t="s">
        <v>59</v>
      </c>
      <c r="E17" s="7" t="s">
        <v>156</v>
      </c>
      <c r="F17" s="7" t="s">
        <v>130</v>
      </c>
      <c r="G17" s="7" t="s">
        <v>85</v>
      </c>
      <c r="H17" s="7" t="s">
        <v>26</v>
      </c>
      <c r="I17" s="7" t="s">
        <v>31</v>
      </c>
      <c r="J17" s="7" t="s">
        <v>61</v>
      </c>
      <c r="K17" s="7" t="s">
        <v>153</v>
      </c>
      <c r="L17" s="8">
        <f t="array" ref="L17">ROUND(AVERAGE(VALUE(D17:K17))/10000,4)</f>
        <v>0.6233</v>
      </c>
      <c r="M17" s="8">
        <f t="array" ref="M17">ROUND(MIN(VALUE(E17:K17))/10000,4)</f>
        <v>0.4508</v>
      </c>
      <c r="N17" s="4"/>
      <c r="O17" s="4"/>
      <c r="P17" s="4"/>
      <c r="Q17" s="4"/>
      <c r="R17" s="4"/>
      <c r="S17" s="4"/>
      <c r="T17" s="4"/>
      <c r="U17" s="4"/>
      <c r="V17" s="4"/>
    </row>
    <row r="18" ht="22.5" customHeight="1">
      <c r="A18" s="5" t="s">
        <v>13</v>
      </c>
      <c r="B18" s="6" t="s">
        <v>157</v>
      </c>
      <c r="C18" s="2" t="s">
        <v>158</v>
      </c>
      <c r="D18" s="7" t="s">
        <v>159</v>
      </c>
      <c r="E18" s="7" t="s">
        <v>160</v>
      </c>
      <c r="F18" s="7" t="s">
        <v>161</v>
      </c>
      <c r="G18" s="7" t="s">
        <v>162</v>
      </c>
      <c r="H18" s="7" t="s">
        <v>163</v>
      </c>
      <c r="I18" s="7" t="s">
        <v>164</v>
      </c>
      <c r="J18" s="7" t="s">
        <v>165</v>
      </c>
      <c r="K18" s="7" t="s">
        <v>166</v>
      </c>
      <c r="L18" s="8">
        <f t="array" ref="L18">ROUND(AVERAGE(VALUE(D18:K18))/10000,4)</f>
        <v>0.6221</v>
      </c>
      <c r="M18" s="8">
        <f t="array" ref="M18">ROUND(MIN(VALUE(E18:K18))/10000,4)</f>
        <v>0.4491</v>
      </c>
      <c r="N18" s="4"/>
      <c r="O18" s="4"/>
      <c r="P18" s="4"/>
      <c r="Q18" s="4"/>
      <c r="R18" s="4"/>
      <c r="S18" s="4"/>
      <c r="T18" s="4"/>
      <c r="U18" s="4"/>
      <c r="V18" s="4"/>
    </row>
    <row r="19" ht="22.5" customHeight="1">
      <c r="A19" s="5" t="s">
        <v>13</v>
      </c>
      <c r="B19" s="6" t="s">
        <v>167</v>
      </c>
      <c r="C19" s="2" t="s">
        <v>168</v>
      </c>
      <c r="D19" s="7" t="s">
        <v>50</v>
      </c>
      <c r="E19" s="7" t="s">
        <v>112</v>
      </c>
      <c r="F19" s="7" t="s">
        <v>169</v>
      </c>
      <c r="G19" s="7" t="s">
        <v>170</v>
      </c>
      <c r="H19" s="7" t="s">
        <v>171</v>
      </c>
      <c r="I19" s="7" t="s">
        <v>142</v>
      </c>
      <c r="J19" s="7" t="s">
        <v>51</v>
      </c>
      <c r="K19" s="7" t="s">
        <v>172</v>
      </c>
      <c r="L19" s="8">
        <f t="array" ref="L19">ROUND(AVERAGE(VALUE(D19:K19))/10000,4)</f>
        <v>0.6224</v>
      </c>
      <c r="M19" s="8">
        <f t="array" ref="M19">ROUND(MIN(VALUE(E19:K19))/10000,4)</f>
        <v>0.456</v>
      </c>
      <c r="N19" s="4"/>
      <c r="O19" s="4"/>
      <c r="P19" s="4"/>
      <c r="Q19" s="4"/>
      <c r="R19" s="4"/>
      <c r="S19" s="4"/>
      <c r="T19" s="4"/>
      <c r="U19" s="4"/>
      <c r="V19" s="4"/>
    </row>
    <row r="20" ht="22.5" customHeight="1">
      <c r="A20" s="5" t="s">
        <v>13</v>
      </c>
      <c r="B20" s="6" t="s">
        <v>173</v>
      </c>
      <c r="C20" s="2" t="s">
        <v>174</v>
      </c>
      <c r="D20" s="7" t="s">
        <v>175</v>
      </c>
      <c r="E20" s="7" t="s">
        <v>176</v>
      </c>
      <c r="F20" s="7" t="s">
        <v>177</v>
      </c>
      <c r="G20" s="7" t="s">
        <v>178</v>
      </c>
      <c r="H20" s="7" t="s">
        <v>179</v>
      </c>
      <c r="I20" s="7" t="s">
        <v>180</v>
      </c>
      <c r="J20" s="7" t="s">
        <v>181</v>
      </c>
      <c r="K20" s="7" t="s">
        <v>182</v>
      </c>
      <c r="L20" s="8">
        <f t="array" ref="L20">ROUND(AVERAGE(VALUE(D20:K20))/10000,4)</f>
        <v>0.6239</v>
      </c>
      <c r="M20" s="8">
        <f t="array" ref="M20">ROUND(MIN(VALUE(E20:K20))/10000,4)</f>
        <v>0.4476</v>
      </c>
      <c r="N20" s="4"/>
      <c r="O20" s="4"/>
      <c r="P20" s="4"/>
      <c r="Q20" s="4"/>
      <c r="R20" s="4"/>
      <c r="S20" s="4"/>
      <c r="T20" s="4"/>
      <c r="U20" s="4"/>
      <c r="V20" s="4"/>
    </row>
    <row r="21" ht="22.5" customHeight="1">
      <c r="A21" s="5" t="s">
        <v>13</v>
      </c>
      <c r="B21" s="6" t="s">
        <v>183</v>
      </c>
      <c r="C21" s="2" t="s">
        <v>184</v>
      </c>
      <c r="D21" s="7" t="s">
        <v>185</v>
      </c>
      <c r="E21" s="7" t="s">
        <v>160</v>
      </c>
      <c r="F21" s="7" t="s">
        <v>186</v>
      </c>
      <c r="G21" s="7" t="s">
        <v>187</v>
      </c>
      <c r="H21" s="7" t="s">
        <v>188</v>
      </c>
      <c r="I21" s="7" t="s">
        <v>189</v>
      </c>
      <c r="J21" s="7" t="s">
        <v>190</v>
      </c>
      <c r="K21" s="7" t="s">
        <v>191</v>
      </c>
      <c r="L21" s="8">
        <f t="array" ref="L21">ROUND(AVERAGE(VALUE(D21:K21))/10000,4)</f>
        <v>0.6208</v>
      </c>
      <c r="M21" s="8">
        <f t="array" ref="M21">ROUND(MIN(VALUE(E21:K21))/10000,4)</f>
        <v>0.4451</v>
      </c>
      <c r="N21" s="4"/>
      <c r="O21" s="4"/>
      <c r="P21" s="4"/>
      <c r="Q21" s="4"/>
      <c r="R21" s="4"/>
      <c r="S21" s="4"/>
      <c r="T21" s="4"/>
      <c r="U21" s="4"/>
      <c r="V21" s="4"/>
    </row>
    <row r="22" ht="22.5" customHeight="1">
      <c r="A22" s="5" t="s">
        <v>192</v>
      </c>
      <c r="B22" s="6" t="s">
        <v>14</v>
      </c>
      <c r="C22" s="2" t="s">
        <v>193</v>
      </c>
      <c r="D22" s="7" t="s">
        <v>194</v>
      </c>
      <c r="E22" s="7" t="s">
        <v>195</v>
      </c>
      <c r="F22" s="7" t="s">
        <v>196</v>
      </c>
      <c r="G22" s="7" t="s">
        <v>197</v>
      </c>
      <c r="H22" s="7" t="s">
        <v>111</v>
      </c>
      <c r="I22" s="7" t="s">
        <v>198</v>
      </c>
      <c r="J22" s="7" t="s">
        <v>199</v>
      </c>
      <c r="K22" s="7" t="s">
        <v>200</v>
      </c>
      <c r="L22" s="8">
        <f t="array" ref="L22">ROUND(AVERAGE(VALUE(D22:K22))/10000,4)</f>
        <v>0.6213</v>
      </c>
      <c r="M22" s="8">
        <f t="array" ref="M22">ROUND(MIN(VALUE(E22:K22))/10000,4)</f>
        <v>0.4495</v>
      </c>
      <c r="N22" s="4"/>
      <c r="O22" s="4"/>
      <c r="P22" s="4"/>
      <c r="Q22" s="4"/>
      <c r="R22" s="4"/>
      <c r="S22" s="4"/>
      <c r="T22" s="4"/>
      <c r="U22" s="4"/>
      <c r="V22" s="4"/>
    </row>
    <row r="23" ht="22.5" customHeight="1">
      <c r="A23" s="5" t="s">
        <v>192</v>
      </c>
      <c r="B23" s="6" t="s">
        <v>24</v>
      </c>
      <c r="C23" s="2" t="s">
        <v>201</v>
      </c>
      <c r="D23" s="7" t="s">
        <v>202</v>
      </c>
      <c r="E23" s="7" t="s">
        <v>203</v>
      </c>
      <c r="F23" s="7" t="s">
        <v>204</v>
      </c>
      <c r="G23" s="7" t="s">
        <v>85</v>
      </c>
      <c r="H23" s="7" t="s">
        <v>146</v>
      </c>
      <c r="I23" s="7" t="s">
        <v>205</v>
      </c>
      <c r="J23" s="7" t="s">
        <v>206</v>
      </c>
      <c r="K23" s="7" t="s">
        <v>207</v>
      </c>
      <c r="L23" s="8">
        <f t="array" ref="L23">ROUND(AVERAGE(VALUE(D23:K23))/10000,4)</f>
        <v>0.6235</v>
      </c>
      <c r="M23" s="8">
        <f t="array" ref="M23">ROUND(MIN(VALUE(E23:K23))/10000,4)</f>
        <v>0.4465</v>
      </c>
      <c r="N23" s="4"/>
      <c r="O23" s="4"/>
      <c r="P23" s="4"/>
      <c r="Q23" s="4"/>
      <c r="R23" s="4"/>
      <c r="S23" s="4"/>
      <c r="T23" s="4"/>
      <c r="U23" s="4"/>
      <c r="V23" s="4"/>
    </row>
    <row r="24" ht="22.5" customHeight="1">
      <c r="A24" s="5" t="s">
        <v>192</v>
      </c>
      <c r="B24" s="6" t="s">
        <v>34</v>
      </c>
      <c r="C24" s="2" t="s">
        <v>208</v>
      </c>
      <c r="D24" s="7" t="s">
        <v>209</v>
      </c>
      <c r="E24" s="7" t="s">
        <v>210</v>
      </c>
      <c r="F24" s="7" t="s">
        <v>177</v>
      </c>
      <c r="G24" s="7" t="s">
        <v>211</v>
      </c>
      <c r="H24" s="7" t="s">
        <v>212</v>
      </c>
      <c r="I24" s="7" t="s">
        <v>213</v>
      </c>
      <c r="J24" s="7" t="s">
        <v>214</v>
      </c>
      <c r="K24" s="7" t="s">
        <v>215</v>
      </c>
      <c r="L24" s="8">
        <f t="array" ref="L24">ROUND(AVERAGE(VALUE(D24:K24))/10000,4)</f>
        <v>0.6249</v>
      </c>
      <c r="M24" s="8">
        <f t="array" ref="M24">ROUND(MIN(VALUE(E24:K24))/10000,4)</f>
        <v>0.4541</v>
      </c>
      <c r="N24" s="4"/>
      <c r="O24" s="4"/>
      <c r="P24" s="4"/>
      <c r="Q24" s="4"/>
      <c r="R24" s="4"/>
      <c r="S24" s="4"/>
      <c r="T24" s="4"/>
      <c r="U24" s="4"/>
      <c r="V24" s="4"/>
    </row>
    <row r="25" ht="22.5" customHeight="1">
      <c r="A25" s="5" t="s">
        <v>192</v>
      </c>
      <c r="B25" s="6" t="s">
        <v>44</v>
      </c>
      <c r="C25" s="2" t="s">
        <v>216</v>
      </c>
      <c r="D25" s="7" t="s">
        <v>217</v>
      </c>
      <c r="E25" s="7" t="s">
        <v>218</v>
      </c>
      <c r="F25" s="7" t="s">
        <v>219</v>
      </c>
      <c r="G25" s="7" t="s">
        <v>211</v>
      </c>
      <c r="H25" s="7" t="s">
        <v>132</v>
      </c>
      <c r="I25" s="7" t="s">
        <v>220</v>
      </c>
      <c r="J25" s="7" t="s">
        <v>221</v>
      </c>
      <c r="K25" s="7" t="s">
        <v>222</v>
      </c>
      <c r="L25" s="8">
        <f t="array" ref="L25">ROUND(AVERAGE(VALUE(D25:K25))/10000,4)</f>
        <v>0.6226</v>
      </c>
      <c r="M25" s="8">
        <f t="array" ref="M25">ROUND(MIN(VALUE(E25:K25))/10000,4)</f>
        <v>0.4498</v>
      </c>
      <c r="N25" s="4"/>
      <c r="O25" s="4"/>
      <c r="P25" s="4"/>
      <c r="Q25" s="4"/>
      <c r="R25" s="4"/>
      <c r="S25" s="4"/>
      <c r="T25" s="4"/>
      <c r="U25" s="4"/>
      <c r="V25" s="4"/>
    </row>
    <row r="26" ht="22.5" customHeight="1">
      <c r="A26" s="5" t="s">
        <v>192</v>
      </c>
      <c r="B26" s="6" t="s">
        <v>53</v>
      </c>
      <c r="C26" s="2" t="s">
        <v>223</v>
      </c>
      <c r="D26" s="7" t="s">
        <v>224</v>
      </c>
      <c r="E26" s="7" t="s">
        <v>120</v>
      </c>
      <c r="F26" s="7" t="s">
        <v>37</v>
      </c>
      <c r="G26" s="7" t="s">
        <v>225</v>
      </c>
      <c r="H26" s="7" t="s">
        <v>141</v>
      </c>
      <c r="I26" s="7" t="s">
        <v>226</v>
      </c>
      <c r="J26" s="7" t="s">
        <v>181</v>
      </c>
      <c r="K26" s="7" t="s">
        <v>227</v>
      </c>
      <c r="L26" s="8">
        <f t="array" ref="L26">ROUND(AVERAGE(VALUE(D26:K26))/10000,4)</f>
        <v>0.6208</v>
      </c>
      <c r="M26" s="8">
        <f t="array" ref="M26">ROUND(MIN(VALUE(E26:K26))/10000,4)</f>
        <v>0.4497</v>
      </c>
      <c r="N26" s="4"/>
      <c r="O26" s="4"/>
      <c r="P26" s="4"/>
      <c r="Q26" s="4"/>
      <c r="R26" s="4"/>
      <c r="S26" s="4"/>
      <c r="T26" s="4"/>
      <c r="U26" s="4"/>
      <c r="V26" s="4"/>
    </row>
    <row r="27" ht="22.5" customHeight="1">
      <c r="A27" s="5" t="s">
        <v>192</v>
      </c>
      <c r="B27" s="6" t="s">
        <v>63</v>
      </c>
      <c r="C27" s="2" t="s">
        <v>228</v>
      </c>
      <c r="D27" s="7" t="s">
        <v>187</v>
      </c>
      <c r="E27" s="7" t="s">
        <v>229</v>
      </c>
      <c r="F27" s="7" t="s">
        <v>18</v>
      </c>
      <c r="G27" s="7" t="s">
        <v>49</v>
      </c>
      <c r="H27" s="7" t="s">
        <v>179</v>
      </c>
      <c r="I27" s="7" t="s">
        <v>230</v>
      </c>
      <c r="J27" s="7" t="s">
        <v>231</v>
      </c>
      <c r="K27" s="7" t="s">
        <v>232</v>
      </c>
      <c r="L27" s="8">
        <f t="array" ref="L27">ROUND(AVERAGE(VALUE(D27:K27))/10000,4)</f>
        <v>0.6243</v>
      </c>
      <c r="M27" s="8">
        <f t="array" ref="M27">ROUND(MIN(VALUE(E27:K27))/10000,4)</f>
        <v>0.4521</v>
      </c>
      <c r="N27" s="4"/>
      <c r="O27" s="4"/>
      <c r="P27" s="4"/>
      <c r="Q27" s="4"/>
      <c r="R27" s="4"/>
      <c r="S27" s="4"/>
      <c r="T27" s="4"/>
      <c r="U27" s="4"/>
      <c r="V27" s="4"/>
    </row>
    <row r="28" ht="22.5" customHeight="1">
      <c r="A28" s="5" t="s">
        <v>192</v>
      </c>
      <c r="B28" s="6" t="s">
        <v>73</v>
      </c>
      <c r="C28" s="2" t="s">
        <v>184</v>
      </c>
      <c r="D28" s="7" t="s">
        <v>233</v>
      </c>
      <c r="E28" s="7" t="s">
        <v>93</v>
      </c>
      <c r="F28" s="7" t="s">
        <v>234</v>
      </c>
      <c r="G28" s="7" t="s">
        <v>149</v>
      </c>
      <c r="H28" s="7" t="s">
        <v>197</v>
      </c>
      <c r="I28" s="7" t="s">
        <v>21</v>
      </c>
      <c r="J28" s="7" t="s">
        <v>235</v>
      </c>
      <c r="K28" s="7" t="s">
        <v>236</v>
      </c>
      <c r="L28" s="8">
        <f t="array" ref="L28">ROUND(AVERAGE(VALUE(D28:K28))/10000,4)</f>
        <v>0.6254</v>
      </c>
      <c r="M28" s="8">
        <f t="array" ref="M28">ROUND(MIN(VALUE(E28:K28))/10000,4)</f>
        <v>0.4512</v>
      </c>
      <c r="N28" s="4"/>
      <c r="O28" s="4"/>
      <c r="P28" s="4"/>
      <c r="Q28" s="4"/>
      <c r="R28" s="4"/>
      <c r="S28" s="4"/>
      <c r="T28" s="4"/>
      <c r="U28" s="4"/>
      <c r="V28" s="4"/>
    </row>
    <row r="29" ht="22.5" customHeight="1">
      <c r="A29" s="5" t="s">
        <v>192</v>
      </c>
      <c r="B29" s="6" t="s">
        <v>80</v>
      </c>
      <c r="C29" s="2" t="s">
        <v>237</v>
      </c>
      <c r="D29" s="7" t="s">
        <v>238</v>
      </c>
      <c r="E29" s="7" t="s">
        <v>239</v>
      </c>
      <c r="F29" s="7" t="s">
        <v>138</v>
      </c>
      <c r="G29" s="7" t="s">
        <v>240</v>
      </c>
      <c r="H29" s="7" t="s">
        <v>241</v>
      </c>
      <c r="I29" s="7" t="s">
        <v>242</v>
      </c>
      <c r="J29" s="7" t="s">
        <v>243</v>
      </c>
      <c r="K29" s="7" t="s">
        <v>244</v>
      </c>
      <c r="L29" s="8">
        <f t="array" ref="L29">ROUND(AVERAGE(VALUE(D29:K29))/10000,4)</f>
        <v>0.6179</v>
      </c>
      <c r="M29" s="8">
        <f t="array" ref="M29">ROUND(MIN(VALUE(E29:K29))/10000,4)</f>
        <v>0.4483</v>
      </c>
      <c r="N29" s="4"/>
      <c r="O29" s="4"/>
      <c r="P29" s="4"/>
      <c r="Q29" s="4"/>
      <c r="R29" s="4"/>
      <c r="S29" s="4"/>
      <c r="T29" s="4"/>
      <c r="U29" s="4"/>
      <c r="V29" s="4"/>
    </row>
    <row r="30" ht="22.5" customHeight="1">
      <c r="A30" s="5" t="s">
        <v>192</v>
      </c>
      <c r="B30" s="6" t="s">
        <v>90</v>
      </c>
      <c r="C30" s="2" t="s">
        <v>101</v>
      </c>
      <c r="D30" s="7" t="s">
        <v>171</v>
      </c>
      <c r="E30" s="7" t="s">
        <v>245</v>
      </c>
      <c r="F30" s="7" t="s">
        <v>246</v>
      </c>
      <c r="G30" s="7" t="s">
        <v>55</v>
      </c>
      <c r="H30" s="7" t="s">
        <v>247</v>
      </c>
      <c r="I30" s="7" t="s">
        <v>220</v>
      </c>
      <c r="J30" s="7" t="s">
        <v>248</v>
      </c>
      <c r="K30" s="7" t="s">
        <v>182</v>
      </c>
      <c r="L30" s="8">
        <f t="array" ref="L30">ROUND(AVERAGE(VALUE(D30:K30))/10000,4)</f>
        <v>0.6232</v>
      </c>
      <c r="M30" s="8">
        <f t="array" ref="M30">ROUND(MIN(VALUE(E30:K30))/10000,4)</f>
        <v>0.4476</v>
      </c>
      <c r="N30" s="4"/>
      <c r="O30" s="4"/>
      <c r="P30" s="4"/>
      <c r="Q30" s="4"/>
      <c r="R30" s="4"/>
      <c r="S30" s="4"/>
      <c r="T30" s="4"/>
      <c r="U30" s="4"/>
      <c r="V30" s="4"/>
    </row>
    <row r="31" ht="22.5" customHeight="1">
      <c r="A31" s="5" t="s">
        <v>192</v>
      </c>
      <c r="B31" s="6" t="s">
        <v>100</v>
      </c>
      <c r="C31" s="2" t="s">
        <v>249</v>
      </c>
      <c r="D31" s="7" t="s">
        <v>250</v>
      </c>
      <c r="E31" s="7" t="s">
        <v>195</v>
      </c>
      <c r="F31" s="7" t="s">
        <v>251</v>
      </c>
      <c r="G31" s="7" t="s">
        <v>187</v>
      </c>
      <c r="H31" s="7" t="s">
        <v>163</v>
      </c>
      <c r="I31" s="7" t="s">
        <v>252</v>
      </c>
      <c r="J31" s="7" t="s">
        <v>253</v>
      </c>
      <c r="K31" s="7" t="s">
        <v>254</v>
      </c>
      <c r="L31" s="8">
        <f t="array" ref="L31">ROUND(AVERAGE(VALUE(D31:K31))/10000,4)</f>
        <v>0.6238</v>
      </c>
      <c r="M31" s="8">
        <f t="array" ref="M31">ROUND(MIN(VALUE(E31:K31))/10000,4)</f>
        <v>0.4534</v>
      </c>
      <c r="N31" s="4"/>
      <c r="O31" s="4"/>
      <c r="P31" s="4"/>
      <c r="Q31" s="4"/>
      <c r="R31" s="4"/>
      <c r="S31" s="4"/>
      <c r="T31" s="4"/>
      <c r="U31" s="4"/>
      <c r="V31" s="4"/>
    </row>
    <row r="32" ht="22.5" customHeight="1">
      <c r="A32" s="5" t="s">
        <v>192</v>
      </c>
      <c r="B32" s="6" t="s">
        <v>109</v>
      </c>
      <c r="C32" s="2" t="s">
        <v>45</v>
      </c>
      <c r="D32" s="7" t="s">
        <v>255</v>
      </c>
      <c r="E32" s="7" t="s">
        <v>138</v>
      </c>
      <c r="F32" s="7" t="s">
        <v>67</v>
      </c>
      <c r="G32" s="7" t="s">
        <v>256</v>
      </c>
      <c r="H32" s="7" t="s">
        <v>197</v>
      </c>
      <c r="I32" s="7" t="s">
        <v>257</v>
      </c>
      <c r="J32" s="7" t="s">
        <v>165</v>
      </c>
      <c r="K32" s="7" t="s">
        <v>258</v>
      </c>
      <c r="L32" s="8">
        <f t="array" ref="L32">ROUND(AVERAGE(VALUE(D32:K32))/10000,4)</f>
        <v>0.6237</v>
      </c>
      <c r="M32" s="8">
        <f t="array" ref="M32">ROUND(MIN(VALUE(E32:K32))/10000,4)</f>
        <v>0.4517</v>
      </c>
      <c r="N32" s="4"/>
      <c r="O32" s="4"/>
      <c r="P32" s="4"/>
      <c r="Q32" s="4"/>
      <c r="R32" s="4"/>
      <c r="S32" s="4"/>
      <c r="T32" s="4"/>
      <c r="U32" s="4"/>
      <c r="V32" s="4"/>
    </row>
    <row r="33" ht="22.5" customHeight="1">
      <c r="A33" s="5" t="s">
        <v>192</v>
      </c>
      <c r="B33" s="6" t="s">
        <v>118</v>
      </c>
      <c r="C33" s="2" t="s">
        <v>259</v>
      </c>
      <c r="D33" s="7" t="s">
        <v>260</v>
      </c>
      <c r="E33" s="7" t="s">
        <v>250</v>
      </c>
      <c r="F33" s="7" t="s">
        <v>95</v>
      </c>
      <c r="G33" s="7" t="s">
        <v>261</v>
      </c>
      <c r="H33" s="7" t="s">
        <v>97</v>
      </c>
      <c r="I33" s="7" t="s">
        <v>262</v>
      </c>
      <c r="J33" s="7" t="s">
        <v>263</v>
      </c>
      <c r="K33" s="7" t="s">
        <v>264</v>
      </c>
      <c r="L33" s="8">
        <f t="array" ref="L33">ROUND(AVERAGE(VALUE(D33:K33))/10000,4)</f>
        <v>0.6117</v>
      </c>
      <c r="M33" s="8">
        <f t="array" ref="M33">ROUND(MIN(VALUE(E33:K33))/10000,4)</f>
        <v>0.448</v>
      </c>
      <c r="N33" s="4"/>
      <c r="O33" s="4"/>
      <c r="P33" s="4"/>
      <c r="Q33" s="4"/>
      <c r="R33" s="4"/>
      <c r="S33" s="4"/>
      <c r="T33" s="4"/>
      <c r="U33" s="4"/>
      <c r="V33" s="4"/>
    </row>
    <row r="34" ht="22.5" customHeight="1">
      <c r="A34" s="5" t="s">
        <v>192</v>
      </c>
      <c r="B34" s="6" t="s">
        <v>127</v>
      </c>
      <c r="C34" s="2" t="s">
        <v>265</v>
      </c>
      <c r="D34" s="7" t="s">
        <v>266</v>
      </c>
      <c r="E34" s="7" t="s">
        <v>122</v>
      </c>
      <c r="F34" s="7" t="s">
        <v>267</v>
      </c>
      <c r="G34" s="7" t="s">
        <v>268</v>
      </c>
      <c r="H34" s="7" t="s">
        <v>269</v>
      </c>
      <c r="I34" s="7" t="s">
        <v>270</v>
      </c>
      <c r="J34" s="7" t="s">
        <v>271</v>
      </c>
      <c r="K34" s="7" t="s">
        <v>272</v>
      </c>
      <c r="L34" s="8">
        <f t="array" ref="L34">ROUND(AVERAGE(VALUE(D34:K34))/10000,4)</f>
        <v>0.6159</v>
      </c>
      <c r="M34" s="8">
        <f t="array" ref="M34">ROUND(MIN(VALUE(E34:K34))/10000,4)</f>
        <v>0.4563</v>
      </c>
      <c r="N34" s="4"/>
      <c r="O34" s="4"/>
      <c r="P34" s="4"/>
      <c r="Q34" s="4"/>
      <c r="R34" s="4"/>
      <c r="S34" s="4"/>
      <c r="T34" s="4"/>
      <c r="U34" s="4"/>
      <c r="V34" s="4"/>
    </row>
    <row r="35" ht="22.5" customHeight="1">
      <c r="A35" s="5" t="s">
        <v>192</v>
      </c>
      <c r="B35" s="6" t="s">
        <v>135</v>
      </c>
      <c r="C35" s="2" t="s">
        <v>273</v>
      </c>
      <c r="D35" s="7" t="s">
        <v>274</v>
      </c>
      <c r="E35" s="7" t="s">
        <v>238</v>
      </c>
      <c r="F35" s="7" t="s">
        <v>275</v>
      </c>
      <c r="G35" s="7" t="s">
        <v>276</v>
      </c>
      <c r="H35" s="7" t="s">
        <v>277</v>
      </c>
      <c r="I35" s="7" t="s">
        <v>278</v>
      </c>
      <c r="J35" s="7" t="s">
        <v>279</v>
      </c>
      <c r="K35" s="7" t="s">
        <v>144</v>
      </c>
      <c r="L35" s="8">
        <f t="array" ref="L35">ROUND(AVERAGE(VALUE(D35:K35))/10000,4)</f>
        <v>0.6151</v>
      </c>
      <c r="M35" s="8">
        <f t="array" ref="M35">ROUND(MIN(VALUE(E35:K35))/10000,4)</f>
        <v>0.4484</v>
      </c>
      <c r="N35" s="4"/>
      <c r="O35" s="4"/>
      <c r="P35" s="4"/>
      <c r="Q35" s="4"/>
      <c r="R35" s="4"/>
      <c r="S35" s="4"/>
      <c r="T35" s="4"/>
      <c r="U35" s="4"/>
      <c r="V35" s="4"/>
    </row>
    <row r="36" ht="22.5" customHeight="1">
      <c r="A36" s="5" t="s">
        <v>192</v>
      </c>
      <c r="B36" s="6" t="s">
        <v>145</v>
      </c>
      <c r="C36" s="2" t="s">
        <v>280</v>
      </c>
      <c r="D36" s="7" t="s">
        <v>281</v>
      </c>
      <c r="E36" s="7" t="s">
        <v>85</v>
      </c>
      <c r="F36" s="7" t="s">
        <v>282</v>
      </c>
      <c r="G36" s="7" t="s">
        <v>283</v>
      </c>
      <c r="H36" s="7" t="s">
        <v>284</v>
      </c>
      <c r="I36" s="7" t="s">
        <v>285</v>
      </c>
      <c r="J36" s="7" t="s">
        <v>286</v>
      </c>
      <c r="K36" s="7" t="s">
        <v>79</v>
      </c>
      <c r="L36" s="8">
        <f t="array" ref="L36">ROUND(AVERAGE(VALUE(D36:K36))/10000,4)</f>
        <v>0.6149</v>
      </c>
      <c r="M36" s="8">
        <f t="array" ref="M36">ROUND(MIN(VALUE(E36:K36))/10000,4)</f>
        <v>0.451</v>
      </c>
      <c r="N36" s="4"/>
      <c r="O36" s="4"/>
      <c r="P36" s="4"/>
      <c r="Q36" s="4"/>
      <c r="R36" s="4"/>
      <c r="S36" s="4"/>
      <c r="T36" s="4"/>
      <c r="U36" s="4"/>
      <c r="V36" s="4"/>
    </row>
    <row r="37" ht="22.5" customHeight="1">
      <c r="A37" s="5" t="s">
        <v>192</v>
      </c>
      <c r="B37" s="6" t="s">
        <v>154</v>
      </c>
      <c r="C37" s="2" t="s">
        <v>287</v>
      </c>
      <c r="D37" s="7" t="s">
        <v>82</v>
      </c>
      <c r="E37" s="7" t="s">
        <v>288</v>
      </c>
      <c r="F37" s="7" t="s">
        <v>289</v>
      </c>
      <c r="G37" s="7" t="s">
        <v>274</v>
      </c>
      <c r="H37" s="7" t="s">
        <v>290</v>
      </c>
      <c r="I37" s="7" t="s">
        <v>291</v>
      </c>
      <c r="J37" s="7" t="s">
        <v>292</v>
      </c>
      <c r="K37" s="7" t="s">
        <v>244</v>
      </c>
      <c r="L37" s="8">
        <f t="array" ref="L37">ROUND(AVERAGE(VALUE(D37:K37))/10000,4)</f>
        <v>0.6172</v>
      </c>
      <c r="M37" s="8">
        <f t="array" ref="M37">ROUND(MIN(VALUE(E37:K37))/10000,4)</f>
        <v>0.4483</v>
      </c>
      <c r="N37" s="4"/>
      <c r="O37" s="4"/>
      <c r="P37" s="4"/>
      <c r="Q37" s="4"/>
      <c r="R37" s="4"/>
      <c r="S37" s="4"/>
      <c r="T37" s="4"/>
      <c r="U37" s="4"/>
      <c r="V37" s="4"/>
    </row>
    <row r="38" ht="22.5" customHeight="1">
      <c r="A38" s="5" t="s">
        <v>192</v>
      </c>
      <c r="B38" s="6" t="s">
        <v>157</v>
      </c>
      <c r="C38" s="2" t="s">
        <v>293</v>
      </c>
      <c r="D38" s="7" t="s">
        <v>294</v>
      </c>
      <c r="E38" s="7" t="s">
        <v>295</v>
      </c>
      <c r="F38" s="7" t="s">
        <v>296</v>
      </c>
      <c r="G38" s="7" t="s">
        <v>297</v>
      </c>
      <c r="H38" s="7" t="s">
        <v>298</v>
      </c>
      <c r="I38" s="7" t="s">
        <v>299</v>
      </c>
      <c r="J38" s="7" t="s">
        <v>206</v>
      </c>
      <c r="K38" s="7" t="s">
        <v>126</v>
      </c>
      <c r="L38" s="8">
        <f t="array" ref="L38">ROUND(AVERAGE(VALUE(D38:K38))/10000,4)</f>
        <v>0.6172</v>
      </c>
      <c r="M38" s="8">
        <f t="array" ref="M38">ROUND(MIN(VALUE(E38:K38))/10000,4)</f>
        <v>0.4511</v>
      </c>
      <c r="N38" s="4"/>
      <c r="O38" s="4"/>
      <c r="P38" s="4"/>
      <c r="Q38" s="4"/>
      <c r="R38" s="4"/>
      <c r="S38" s="4"/>
      <c r="T38" s="4"/>
      <c r="U38" s="4"/>
      <c r="V38" s="4"/>
    </row>
    <row r="39" ht="22.5" customHeight="1">
      <c r="A39" s="5" t="s">
        <v>192</v>
      </c>
      <c r="B39" s="6" t="s">
        <v>167</v>
      </c>
      <c r="C39" s="2" t="s">
        <v>15</v>
      </c>
      <c r="D39" s="7" t="s">
        <v>123</v>
      </c>
      <c r="E39" s="7" t="s">
        <v>83</v>
      </c>
      <c r="F39" s="7" t="s">
        <v>300</v>
      </c>
      <c r="G39" s="7" t="s">
        <v>288</v>
      </c>
      <c r="H39" s="7" t="s">
        <v>197</v>
      </c>
      <c r="I39" s="7" t="s">
        <v>70</v>
      </c>
      <c r="J39" s="7" t="s">
        <v>301</v>
      </c>
      <c r="K39" s="7" t="s">
        <v>302</v>
      </c>
      <c r="L39" s="8">
        <f t="array" ref="L39">ROUND(AVERAGE(VALUE(D39:K39))/10000,4)</f>
        <v>0.6261</v>
      </c>
      <c r="M39" s="8">
        <f t="array" ref="M39">ROUND(MIN(VALUE(E39:K39))/10000,4)</f>
        <v>0.4571</v>
      </c>
      <c r="N39" s="4"/>
      <c r="O39" s="4"/>
      <c r="P39" s="4"/>
      <c r="Q39" s="4"/>
      <c r="R39" s="4"/>
      <c r="S39" s="4"/>
      <c r="T39" s="4"/>
      <c r="U39" s="4"/>
      <c r="V39" s="4"/>
    </row>
    <row r="40" ht="22.5" customHeight="1">
      <c r="A40" s="5" t="s">
        <v>192</v>
      </c>
      <c r="B40" s="6" t="s">
        <v>173</v>
      </c>
      <c r="C40" s="2" t="s">
        <v>81</v>
      </c>
      <c r="D40" s="7" t="s">
        <v>95</v>
      </c>
      <c r="E40" s="7" t="s">
        <v>303</v>
      </c>
      <c r="F40" s="7" t="s">
        <v>304</v>
      </c>
      <c r="G40" s="7" t="s">
        <v>29</v>
      </c>
      <c r="H40" s="7" t="s">
        <v>212</v>
      </c>
      <c r="I40" s="7" t="s">
        <v>305</v>
      </c>
      <c r="J40" s="7" t="s">
        <v>306</v>
      </c>
      <c r="K40" s="7" t="s">
        <v>307</v>
      </c>
      <c r="L40" s="8">
        <f t="array" ref="L40">ROUND(AVERAGE(VALUE(D40:K40))/10000,4)</f>
        <v>0.6253</v>
      </c>
      <c r="M40" s="8">
        <f t="array" ref="M40">ROUND(MIN(VALUE(E40:K40))/10000,4)</f>
        <v>0.4507</v>
      </c>
      <c r="N40" s="4"/>
      <c r="O40" s="4"/>
      <c r="P40" s="4"/>
      <c r="Q40" s="4"/>
      <c r="R40" s="4"/>
      <c r="S40" s="4"/>
      <c r="T40" s="4"/>
      <c r="U40" s="4"/>
      <c r="V40" s="4"/>
    </row>
    <row r="41" ht="22.5" customHeight="1">
      <c r="A41" s="5" t="s">
        <v>192</v>
      </c>
      <c r="B41" s="6" t="s">
        <v>183</v>
      </c>
      <c r="C41" s="2" t="s">
        <v>308</v>
      </c>
      <c r="D41" s="7" t="s">
        <v>180</v>
      </c>
      <c r="E41" s="7" t="s">
        <v>309</v>
      </c>
      <c r="F41" s="7" t="s">
        <v>310</v>
      </c>
      <c r="G41" s="7" t="s">
        <v>298</v>
      </c>
      <c r="H41" s="7" t="s">
        <v>311</v>
      </c>
      <c r="I41" s="7" t="s">
        <v>312</v>
      </c>
      <c r="J41" s="7" t="s">
        <v>199</v>
      </c>
      <c r="K41" s="7" t="s">
        <v>62</v>
      </c>
      <c r="L41" s="8">
        <f t="array" ref="L41">ROUND(AVERAGE(VALUE(D41:K41))/10000,4)</f>
        <v>0.6144</v>
      </c>
      <c r="M41" s="8">
        <f t="array" ref="M41">ROUND(MIN(VALUE(E41:K41))/10000,4)</f>
        <v>0.4516</v>
      </c>
      <c r="N41" s="4"/>
      <c r="O41" s="4"/>
      <c r="P41" s="4"/>
      <c r="Q41" s="4"/>
      <c r="R41" s="4"/>
      <c r="S41" s="4"/>
      <c r="T41" s="4"/>
      <c r="U41" s="4"/>
      <c r="V41" s="4"/>
    </row>
    <row r="42" ht="22.5" customHeight="1">
      <c r="A42" s="5" t="s">
        <v>313</v>
      </c>
      <c r="B42" s="6" t="s">
        <v>14</v>
      </c>
      <c r="C42" s="2" t="s">
        <v>314</v>
      </c>
      <c r="D42" s="7" t="s">
        <v>315</v>
      </c>
      <c r="E42" s="7" t="s">
        <v>316</v>
      </c>
      <c r="F42" s="7" t="s">
        <v>121</v>
      </c>
      <c r="G42" s="7" t="s">
        <v>317</v>
      </c>
      <c r="H42" s="7" t="s">
        <v>318</v>
      </c>
      <c r="I42" s="7" t="s">
        <v>319</v>
      </c>
      <c r="J42" s="7" t="s">
        <v>320</v>
      </c>
      <c r="K42" s="7" t="s">
        <v>321</v>
      </c>
      <c r="L42" s="8">
        <f t="array" ref="L42">ROUND(AVERAGE(VALUE(D42:K42))/10000,4)</f>
        <v>0.562</v>
      </c>
      <c r="M42" s="8">
        <f t="array" ref="M42">ROUND(MIN(VALUE(E42:K42))/10000,4)</f>
        <v>0.2585</v>
      </c>
      <c r="N42" s="4"/>
      <c r="O42" s="4"/>
      <c r="P42" s="4"/>
      <c r="Q42" s="4"/>
      <c r="R42" s="4"/>
      <c r="S42" s="4"/>
      <c r="T42" s="4"/>
      <c r="U42" s="4"/>
      <c r="V42" s="4"/>
    </row>
    <row r="43" ht="22.5" customHeight="1">
      <c r="A43" s="5" t="s">
        <v>313</v>
      </c>
      <c r="B43" s="6" t="s">
        <v>24</v>
      </c>
      <c r="C43" s="2" t="s">
        <v>322</v>
      </c>
      <c r="D43" s="7" t="s">
        <v>323</v>
      </c>
      <c r="E43" s="7" t="s">
        <v>324</v>
      </c>
      <c r="F43" s="7" t="s">
        <v>325</v>
      </c>
      <c r="G43" s="7" t="s">
        <v>326</v>
      </c>
      <c r="H43" s="7" t="s">
        <v>327</v>
      </c>
      <c r="I43" s="7" t="s">
        <v>328</v>
      </c>
      <c r="J43" s="7" t="s">
        <v>329</v>
      </c>
      <c r="K43" s="7" t="s">
        <v>330</v>
      </c>
      <c r="L43" s="8">
        <f t="array" ref="L43">ROUND(AVERAGE(VALUE(D43:K43))/10000,4)</f>
        <v>0.5634</v>
      </c>
      <c r="M43" s="8">
        <f t="array" ref="M43">ROUND(MIN(VALUE(E43:K43))/10000,4)</f>
        <v>0.2561</v>
      </c>
      <c r="N43" s="4"/>
      <c r="O43" s="4"/>
      <c r="P43" s="4"/>
      <c r="Q43" s="4"/>
      <c r="R43" s="4"/>
      <c r="S43" s="4"/>
      <c r="T43" s="4"/>
      <c r="U43" s="4"/>
      <c r="V43" s="4"/>
    </row>
    <row r="44" ht="22.5" customHeight="1">
      <c r="A44" s="5" t="s">
        <v>313</v>
      </c>
      <c r="B44" s="6" t="s">
        <v>34</v>
      </c>
      <c r="C44" s="2" t="s">
        <v>331</v>
      </c>
      <c r="D44" s="7" t="s">
        <v>332</v>
      </c>
      <c r="E44" s="7" t="s">
        <v>333</v>
      </c>
      <c r="F44" s="7" t="s">
        <v>334</v>
      </c>
      <c r="G44" s="7" t="s">
        <v>335</v>
      </c>
      <c r="H44" s="7" t="s">
        <v>336</v>
      </c>
      <c r="I44" s="7" t="s">
        <v>337</v>
      </c>
      <c r="J44" s="7" t="s">
        <v>338</v>
      </c>
      <c r="K44" s="7" t="s">
        <v>339</v>
      </c>
      <c r="L44" s="8">
        <f t="array" ref="L44">ROUND(AVERAGE(VALUE(D44:K44))/10000,4)</f>
        <v>0.5631</v>
      </c>
      <c r="M44" s="8">
        <f t="array" ref="M44">ROUND(MIN(VALUE(E44:K44))/10000,4)</f>
        <v>0.2605</v>
      </c>
      <c r="N44" s="4"/>
      <c r="O44" s="4"/>
      <c r="P44" s="4"/>
      <c r="Q44" s="4"/>
      <c r="R44" s="4"/>
      <c r="S44" s="4"/>
      <c r="T44" s="4"/>
      <c r="U44" s="4"/>
      <c r="V44" s="4"/>
    </row>
    <row r="45" ht="22.5" customHeight="1">
      <c r="A45" s="5" t="s">
        <v>313</v>
      </c>
      <c r="B45" s="6" t="s">
        <v>44</v>
      </c>
      <c r="C45" s="2" t="s">
        <v>340</v>
      </c>
      <c r="D45" s="7" t="s">
        <v>332</v>
      </c>
      <c r="E45" s="7" t="s">
        <v>341</v>
      </c>
      <c r="F45" s="7" t="s">
        <v>342</v>
      </c>
      <c r="G45" s="7" t="s">
        <v>343</v>
      </c>
      <c r="H45" s="7" t="s">
        <v>261</v>
      </c>
      <c r="I45" s="7" t="s">
        <v>344</v>
      </c>
      <c r="J45" s="7" t="s">
        <v>345</v>
      </c>
      <c r="K45" s="7" t="s">
        <v>346</v>
      </c>
      <c r="L45" s="8">
        <f t="array" ref="L45">ROUND(AVERAGE(VALUE(D45:K45))/10000,4)</f>
        <v>0.5612</v>
      </c>
      <c r="M45" s="8">
        <f t="array" ref="M45">ROUND(MIN(VALUE(E45:K45))/10000,4)</f>
        <v>0.2557</v>
      </c>
      <c r="N45" s="4"/>
      <c r="O45" s="4"/>
      <c r="P45" s="4"/>
      <c r="Q45" s="4"/>
      <c r="R45" s="4"/>
      <c r="S45" s="4"/>
      <c r="T45" s="4"/>
      <c r="U45" s="4"/>
      <c r="V45" s="4"/>
    </row>
    <row r="46" ht="22.5" customHeight="1">
      <c r="A46" s="5" t="s">
        <v>313</v>
      </c>
      <c r="B46" s="6" t="s">
        <v>53</v>
      </c>
      <c r="C46" s="2" t="s">
        <v>347</v>
      </c>
      <c r="D46" s="7" t="s">
        <v>348</v>
      </c>
      <c r="E46" s="7" t="s">
        <v>349</v>
      </c>
      <c r="F46" s="7" t="s">
        <v>350</v>
      </c>
      <c r="G46" s="7" t="s">
        <v>351</v>
      </c>
      <c r="H46" s="7" t="s">
        <v>352</v>
      </c>
      <c r="I46" s="7" t="s">
        <v>353</v>
      </c>
      <c r="J46" s="7" t="s">
        <v>354</v>
      </c>
      <c r="K46" s="7" t="s">
        <v>355</v>
      </c>
      <c r="L46" s="8">
        <f t="array" ref="L46">ROUND(AVERAGE(VALUE(D46:K46))/10000,4)</f>
        <v>0.5671</v>
      </c>
      <c r="M46" s="8">
        <f t="array" ref="M46">ROUND(MIN(VALUE(E46:K46))/10000,4)</f>
        <v>0.2654</v>
      </c>
      <c r="N46" s="4"/>
      <c r="O46" s="4"/>
      <c r="P46" s="4"/>
      <c r="Q46" s="4"/>
      <c r="R46" s="4"/>
      <c r="S46" s="4"/>
      <c r="T46" s="4"/>
      <c r="U46" s="4"/>
      <c r="V46" s="4"/>
    </row>
    <row r="47" ht="22.5" customHeight="1">
      <c r="A47" s="5" t="s">
        <v>313</v>
      </c>
      <c r="B47" s="6" t="s">
        <v>63</v>
      </c>
      <c r="C47" s="2" t="s">
        <v>322</v>
      </c>
      <c r="D47" s="7" t="s">
        <v>356</v>
      </c>
      <c r="E47" s="7" t="s">
        <v>357</v>
      </c>
      <c r="F47" s="7" t="s">
        <v>334</v>
      </c>
      <c r="G47" s="7" t="s">
        <v>17</v>
      </c>
      <c r="H47" s="7" t="s">
        <v>311</v>
      </c>
      <c r="I47" s="7" t="s">
        <v>358</v>
      </c>
      <c r="J47" s="7" t="s">
        <v>359</v>
      </c>
      <c r="K47" s="7" t="s">
        <v>360</v>
      </c>
      <c r="L47" s="8">
        <f t="array" ref="L47">ROUND(AVERAGE(VALUE(D47:K47))/10000,4)</f>
        <v>0.564</v>
      </c>
      <c r="M47" s="8">
        <f t="array" ref="M47">ROUND(MIN(VALUE(E47:K47))/10000,4)</f>
        <v>0.2562</v>
      </c>
      <c r="N47" s="4"/>
      <c r="O47" s="4"/>
      <c r="P47" s="4"/>
      <c r="Q47" s="4"/>
      <c r="R47" s="4"/>
      <c r="S47" s="4"/>
      <c r="T47" s="4"/>
      <c r="U47" s="4"/>
      <c r="V47" s="4"/>
    </row>
    <row r="48" ht="22.5" customHeight="1">
      <c r="A48" s="5" t="s">
        <v>313</v>
      </c>
      <c r="B48" s="6" t="s">
        <v>73</v>
      </c>
      <c r="C48" s="2" t="s">
        <v>361</v>
      </c>
      <c r="D48" s="7" t="s">
        <v>362</v>
      </c>
      <c r="E48" s="7" t="s">
        <v>363</v>
      </c>
      <c r="F48" s="7" t="s">
        <v>364</v>
      </c>
      <c r="G48" s="7" t="s">
        <v>365</v>
      </c>
      <c r="H48" s="7" t="s">
        <v>366</v>
      </c>
      <c r="I48" s="7" t="s">
        <v>357</v>
      </c>
      <c r="J48" s="7" t="s">
        <v>367</v>
      </c>
      <c r="K48" s="7" t="s">
        <v>368</v>
      </c>
      <c r="L48" s="8">
        <f t="array" ref="L48">ROUND(AVERAGE(VALUE(D48:K48))/10000,4)</f>
        <v>0.5599</v>
      </c>
      <c r="M48" s="8">
        <f t="array" ref="M48">ROUND(MIN(VALUE(E48:K48))/10000,4)</f>
        <v>0.2558</v>
      </c>
      <c r="N48" s="4"/>
      <c r="O48" s="4"/>
      <c r="P48" s="4"/>
      <c r="Q48" s="4"/>
      <c r="R48" s="4"/>
      <c r="S48" s="4"/>
      <c r="T48" s="4"/>
      <c r="U48" s="4"/>
      <c r="V48" s="4"/>
    </row>
    <row r="49" ht="22.5" customHeight="1">
      <c r="A49" s="5" t="s">
        <v>313</v>
      </c>
      <c r="B49" s="6" t="s">
        <v>80</v>
      </c>
      <c r="C49" s="2" t="s">
        <v>369</v>
      </c>
      <c r="D49" s="7" t="s">
        <v>370</v>
      </c>
      <c r="E49" s="7" t="s">
        <v>371</v>
      </c>
      <c r="F49" s="7" t="s">
        <v>372</v>
      </c>
      <c r="G49" s="7" t="s">
        <v>373</v>
      </c>
      <c r="H49" s="7" t="s">
        <v>213</v>
      </c>
      <c r="I49" s="7" t="s">
        <v>374</v>
      </c>
      <c r="J49" s="7" t="s">
        <v>345</v>
      </c>
      <c r="K49" s="7" t="s">
        <v>375</v>
      </c>
      <c r="L49" s="8">
        <f t="array" ref="L49">ROUND(AVERAGE(VALUE(D49:K49))/10000,4)</f>
        <v>0.5584</v>
      </c>
      <c r="M49" s="8">
        <f t="array" ref="M49">ROUND(MIN(VALUE(E49:K49))/10000,4)</f>
        <v>0.2597</v>
      </c>
      <c r="N49" s="4"/>
      <c r="O49" s="4"/>
      <c r="P49" s="4"/>
      <c r="Q49" s="4"/>
      <c r="R49" s="4"/>
      <c r="S49" s="4"/>
      <c r="T49" s="4"/>
      <c r="U49" s="4"/>
      <c r="V49" s="4"/>
    </row>
    <row r="50" ht="22.5" customHeight="1">
      <c r="A50" s="5" t="s">
        <v>313</v>
      </c>
      <c r="B50" s="6" t="s">
        <v>90</v>
      </c>
      <c r="C50" s="2" t="s">
        <v>376</v>
      </c>
      <c r="D50" s="7" t="s">
        <v>377</v>
      </c>
      <c r="E50" s="7" t="s">
        <v>316</v>
      </c>
      <c r="F50" s="7" t="s">
        <v>251</v>
      </c>
      <c r="G50" s="7" t="s">
        <v>310</v>
      </c>
      <c r="H50" s="7" t="s">
        <v>257</v>
      </c>
      <c r="I50" s="7" t="s">
        <v>333</v>
      </c>
      <c r="J50" s="7" t="s">
        <v>378</v>
      </c>
      <c r="K50" s="7" t="s">
        <v>379</v>
      </c>
      <c r="L50" s="8">
        <f t="array" ref="L50">ROUND(AVERAGE(VALUE(D50:K50))/10000,4)</f>
        <v>0.5609</v>
      </c>
      <c r="M50" s="8">
        <f t="array" ref="M50">ROUND(MIN(VALUE(E50:K50))/10000,4)</f>
        <v>0.2575</v>
      </c>
      <c r="N50" s="4"/>
      <c r="O50" s="4"/>
      <c r="P50" s="4"/>
      <c r="Q50" s="4"/>
      <c r="R50" s="4"/>
      <c r="S50" s="4"/>
      <c r="T50" s="4"/>
      <c r="U50" s="4"/>
      <c r="V50" s="4"/>
    </row>
    <row r="51" ht="22.5" customHeight="1">
      <c r="A51" s="5" t="s">
        <v>313</v>
      </c>
      <c r="B51" s="6" t="s">
        <v>100</v>
      </c>
      <c r="C51" s="2" t="s">
        <v>380</v>
      </c>
      <c r="D51" s="7" t="s">
        <v>381</v>
      </c>
      <c r="E51" s="7" t="s">
        <v>382</v>
      </c>
      <c r="F51" s="7" t="s">
        <v>383</v>
      </c>
      <c r="G51" s="7" t="s">
        <v>384</v>
      </c>
      <c r="H51" s="7" t="s">
        <v>385</v>
      </c>
      <c r="I51" s="7" t="s">
        <v>386</v>
      </c>
      <c r="J51" s="7" t="s">
        <v>387</v>
      </c>
      <c r="K51" s="7" t="s">
        <v>375</v>
      </c>
      <c r="L51" s="8">
        <f t="array" ref="L51">ROUND(AVERAGE(VALUE(D51:K51))/10000,4)</f>
        <v>0.5636</v>
      </c>
      <c r="M51" s="8">
        <f t="array" ref="M51">ROUND(MIN(VALUE(E51:K51))/10000,4)</f>
        <v>0.2597</v>
      </c>
      <c r="N51" s="4"/>
      <c r="O51" s="4"/>
      <c r="P51" s="4"/>
      <c r="Q51" s="4"/>
      <c r="R51" s="4"/>
      <c r="S51" s="4"/>
      <c r="T51" s="4"/>
      <c r="U51" s="4"/>
      <c r="V51" s="4"/>
    </row>
    <row r="52" ht="22.5" customHeight="1">
      <c r="A52" s="5" t="s">
        <v>313</v>
      </c>
      <c r="B52" s="6" t="s">
        <v>109</v>
      </c>
      <c r="C52" s="2" t="s">
        <v>388</v>
      </c>
      <c r="D52" s="7" t="s">
        <v>389</v>
      </c>
      <c r="E52" s="7" t="s">
        <v>390</v>
      </c>
      <c r="F52" s="7" t="s">
        <v>391</v>
      </c>
      <c r="G52" s="7" t="s">
        <v>162</v>
      </c>
      <c r="H52" s="7" t="s">
        <v>392</v>
      </c>
      <c r="I52" s="7" t="s">
        <v>291</v>
      </c>
      <c r="J52" s="7" t="s">
        <v>393</v>
      </c>
      <c r="K52" s="7" t="s">
        <v>394</v>
      </c>
      <c r="L52" s="8">
        <f t="array" ref="L52">ROUND(AVERAGE(VALUE(D52:K52))/10000,4)</f>
        <v>0.5603</v>
      </c>
      <c r="M52" s="8">
        <f t="array" ref="M52">ROUND(MIN(VALUE(E52:K52))/10000,4)</f>
        <v>0.2655</v>
      </c>
      <c r="N52" s="4"/>
      <c r="O52" s="4"/>
      <c r="P52" s="4"/>
      <c r="Q52" s="4"/>
      <c r="R52" s="4"/>
      <c r="S52" s="4"/>
      <c r="T52" s="4"/>
      <c r="U52" s="4"/>
      <c r="V52" s="4"/>
    </row>
    <row r="53" ht="22.5" customHeight="1">
      <c r="A53" s="5" t="s">
        <v>313</v>
      </c>
      <c r="B53" s="6" t="s">
        <v>118</v>
      </c>
      <c r="C53" s="2" t="s">
        <v>395</v>
      </c>
      <c r="D53" s="7" t="s">
        <v>396</v>
      </c>
      <c r="E53" s="7" t="s">
        <v>397</v>
      </c>
      <c r="F53" s="7" t="s">
        <v>325</v>
      </c>
      <c r="G53" s="7" t="s">
        <v>398</v>
      </c>
      <c r="H53" s="7" t="s">
        <v>399</v>
      </c>
      <c r="I53" s="7" t="s">
        <v>400</v>
      </c>
      <c r="J53" s="7" t="s">
        <v>401</v>
      </c>
      <c r="K53" s="7" t="s">
        <v>402</v>
      </c>
      <c r="L53" s="8">
        <f t="array" ref="L53">ROUND(AVERAGE(VALUE(D53:K53))/10000,4)</f>
        <v>0.564</v>
      </c>
      <c r="M53" s="8">
        <f t="array" ref="M53">ROUND(MIN(VALUE(E53:K53))/10000,4)</f>
        <v>0.2592</v>
      </c>
      <c r="N53" s="4"/>
      <c r="O53" s="4"/>
      <c r="P53" s="4"/>
      <c r="Q53" s="4"/>
      <c r="R53" s="4"/>
      <c r="S53" s="4"/>
      <c r="T53" s="4"/>
      <c r="U53" s="4"/>
      <c r="V53" s="4"/>
    </row>
    <row r="54" ht="22.5" customHeight="1">
      <c r="A54" s="5" t="s">
        <v>313</v>
      </c>
      <c r="B54" s="6" t="s">
        <v>127</v>
      </c>
      <c r="C54" s="2" t="s">
        <v>403</v>
      </c>
      <c r="D54" s="7" t="s">
        <v>404</v>
      </c>
      <c r="E54" s="7" t="s">
        <v>316</v>
      </c>
      <c r="F54" s="7" t="s">
        <v>405</v>
      </c>
      <c r="G54" s="7" t="s">
        <v>288</v>
      </c>
      <c r="H54" s="7" t="s">
        <v>260</v>
      </c>
      <c r="I54" s="7" t="s">
        <v>406</v>
      </c>
      <c r="J54" s="7" t="s">
        <v>407</v>
      </c>
      <c r="K54" s="7" t="s">
        <v>408</v>
      </c>
      <c r="L54" s="8">
        <f t="array" ref="L54">ROUND(AVERAGE(VALUE(D54:K54))/10000,4)</f>
        <v>0.5643</v>
      </c>
      <c r="M54" s="8">
        <f t="array" ref="M54">ROUND(MIN(VALUE(E54:K54))/10000,4)</f>
        <v>0.2681</v>
      </c>
      <c r="N54" s="4"/>
      <c r="O54" s="4"/>
      <c r="P54" s="4"/>
      <c r="Q54" s="4"/>
      <c r="R54" s="4"/>
      <c r="S54" s="4"/>
      <c r="T54" s="4"/>
      <c r="U54" s="4"/>
      <c r="V54" s="4"/>
    </row>
    <row r="55" ht="22.5" customHeight="1">
      <c r="A55" s="5" t="s">
        <v>313</v>
      </c>
      <c r="B55" s="6" t="s">
        <v>135</v>
      </c>
      <c r="C55" s="2" t="s">
        <v>409</v>
      </c>
      <c r="D55" s="7" t="s">
        <v>410</v>
      </c>
      <c r="E55" s="7" t="s">
        <v>411</v>
      </c>
      <c r="F55" s="7" t="s">
        <v>94</v>
      </c>
      <c r="G55" s="7" t="s">
        <v>412</v>
      </c>
      <c r="H55" s="7" t="s">
        <v>413</v>
      </c>
      <c r="I55" s="7" t="s">
        <v>414</v>
      </c>
      <c r="J55" s="7" t="s">
        <v>415</v>
      </c>
      <c r="K55" s="7" t="s">
        <v>416</v>
      </c>
      <c r="L55" s="8">
        <f t="array" ref="L55">ROUND(AVERAGE(VALUE(D55:K55))/10000,4)</f>
        <v>0.5624</v>
      </c>
      <c r="M55" s="8">
        <f t="array" ref="M55">ROUND(MIN(VALUE(E55:K55))/10000,4)</f>
        <v>0.2612</v>
      </c>
      <c r="N55" s="4"/>
      <c r="O55" s="4"/>
      <c r="P55" s="4"/>
      <c r="Q55" s="4"/>
      <c r="R55" s="4"/>
      <c r="S55" s="4"/>
      <c r="T55" s="4"/>
      <c r="U55" s="4"/>
      <c r="V55" s="4"/>
    </row>
    <row r="56" ht="22.5" customHeight="1">
      <c r="A56" s="5" t="s">
        <v>313</v>
      </c>
      <c r="B56" s="6" t="s">
        <v>145</v>
      </c>
      <c r="C56" s="2" t="s">
        <v>417</v>
      </c>
      <c r="D56" s="7" t="s">
        <v>418</v>
      </c>
      <c r="E56" s="7" t="s">
        <v>419</v>
      </c>
      <c r="F56" s="7" t="s">
        <v>420</v>
      </c>
      <c r="G56" s="7" t="s">
        <v>421</v>
      </c>
      <c r="H56" s="7" t="s">
        <v>399</v>
      </c>
      <c r="I56" s="7" t="s">
        <v>422</v>
      </c>
      <c r="J56" s="7" t="s">
        <v>393</v>
      </c>
      <c r="K56" s="7" t="s">
        <v>423</v>
      </c>
      <c r="L56" s="8">
        <f t="array" ref="L56">ROUND(AVERAGE(VALUE(D56:K56))/10000,4)</f>
        <v>0.563</v>
      </c>
      <c r="M56" s="8">
        <f t="array" ref="M56">ROUND(MIN(VALUE(E56:K56))/10000,4)</f>
        <v>0.2651</v>
      </c>
      <c r="N56" s="4"/>
      <c r="O56" s="4"/>
      <c r="P56" s="4"/>
      <c r="Q56" s="4"/>
      <c r="R56" s="4"/>
      <c r="S56" s="4"/>
      <c r="T56" s="4"/>
      <c r="U56" s="4"/>
      <c r="V56" s="4"/>
    </row>
    <row r="57" ht="22.5" customHeight="1">
      <c r="A57" s="5" t="s">
        <v>313</v>
      </c>
      <c r="B57" s="6" t="s">
        <v>154</v>
      </c>
      <c r="C57" s="2" t="s">
        <v>424</v>
      </c>
      <c r="D57" s="7" t="s">
        <v>332</v>
      </c>
      <c r="E57" s="7" t="s">
        <v>425</v>
      </c>
      <c r="F57" s="7" t="s">
        <v>426</v>
      </c>
      <c r="G57" s="7" t="s">
        <v>427</v>
      </c>
      <c r="H57" s="7" t="s">
        <v>428</v>
      </c>
      <c r="I57" s="7" t="s">
        <v>205</v>
      </c>
      <c r="J57" s="7" t="s">
        <v>429</v>
      </c>
      <c r="K57" s="7" t="s">
        <v>430</v>
      </c>
      <c r="L57" s="8">
        <f t="array" ref="L57">ROUND(AVERAGE(VALUE(D57:K57))/10000,4)</f>
        <v>0.5652</v>
      </c>
      <c r="M57" s="8">
        <f t="array" ref="M57">ROUND(MIN(VALUE(E57:K57))/10000,4)</f>
        <v>0.2576</v>
      </c>
      <c r="N57" s="4"/>
      <c r="O57" s="4"/>
      <c r="P57" s="4"/>
      <c r="Q57" s="4"/>
      <c r="R57" s="4"/>
      <c r="S57" s="4"/>
      <c r="T57" s="4"/>
      <c r="U57" s="4"/>
      <c r="V57" s="4"/>
    </row>
    <row r="58" ht="22.5" customHeight="1">
      <c r="A58" s="5" t="s">
        <v>313</v>
      </c>
      <c r="B58" s="6" t="s">
        <v>157</v>
      </c>
      <c r="C58" s="2" t="s">
        <v>431</v>
      </c>
      <c r="D58" s="7" t="s">
        <v>432</v>
      </c>
      <c r="E58" s="7" t="s">
        <v>433</v>
      </c>
      <c r="F58" s="7" t="s">
        <v>37</v>
      </c>
      <c r="G58" s="7" t="s">
        <v>365</v>
      </c>
      <c r="H58" s="7" t="s">
        <v>434</v>
      </c>
      <c r="I58" s="7" t="s">
        <v>435</v>
      </c>
      <c r="J58" s="7" t="s">
        <v>436</v>
      </c>
      <c r="K58" s="7" t="s">
        <v>437</v>
      </c>
      <c r="L58" s="8">
        <f t="array" ref="L58">ROUND(AVERAGE(VALUE(D58:K58))/10000,4)</f>
        <v>0.5586</v>
      </c>
      <c r="M58" s="8">
        <f t="array" ref="M58">ROUND(MIN(VALUE(E58:K58))/10000,4)</f>
        <v>0.2578</v>
      </c>
      <c r="N58" s="4"/>
      <c r="O58" s="4"/>
      <c r="P58" s="4"/>
      <c r="Q58" s="4"/>
      <c r="R58" s="4"/>
      <c r="S58" s="4"/>
      <c r="T58" s="4"/>
      <c r="U58" s="4"/>
      <c r="V58" s="4"/>
    </row>
    <row r="59" ht="22.5" customHeight="1">
      <c r="A59" s="5" t="s">
        <v>313</v>
      </c>
      <c r="B59" s="6" t="s">
        <v>167</v>
      </c>
      <c r="C59" s="2" t="s">
        <v>438</v>
      </c>
      <c r="D59" s="7" t="s">
        <v>439</v>
      </c>
      <c r="E59" s="7" t="s">
        <v>440</v>
      </c>
      <c r="F59" s="7" t="s">
        <v>57</v>
      </c>
      <c r="G59" s="7" t="s">
        <v>441</v>
      </c>
      <c r="H59" s="7" t="s">
        <v>21</v>
      </c>
      <c r="I59" s="7" t="s">
        <v>344</v>
      </c>
      <c r="J59" s="7" t="s">
        <v>442</v>
      </c>
      <c r="K59" s="7" t="s">
        <v>443</v>
      </c>
      <c r="L59" s="8">
        <f t="array" ref="L59">ROUND(AVERAGE(VALUE(D59:K59))/10000,4)</f>
        <v>0.5589</v>
      </c>
      <c r="M59" s="8">
        <f t="array" ref="M59">ROUND(MIN(VALUE(E59:K59))/10000,4)</f>
        <v>0.2546</v>
      </c>
      <c r="N59" s="4"/>
      <c r="O59" s="4"/>
      <c r="P59" s="4"/>
      <c r="Q59" s="4"/>
      <c r="R59" s="4"/>
      <c r="S59" s="4"/>
      <c r="T59" s="4"/>
      <c r="U59" s="4"/>
      <c r="V59" s="4"/>
    </row>
    <row r="60" ht="22.5" customHeight="1">
      <c r="A60" s="5" t="s">
        <v>313</v>
      </c>
      <c r="B60" s="6" t="s">
        <v>173</v>
      </c>
      <c r="C60" s="2" t="s">
        <v>444</v>
      </c>
      <c r="D60" s="7" t="s">
        <v>445</v>
      </c>
      <c r="E60" s="7" t="s">
        <v>435</v>
      </c>
      <c r="F60" s="7" t="s">
        <v>169</v>
      </c>
      <c r="G60" s="7" t="s">
        <v>446</v>
      </c>
      <c r="H60" s="7" t="s">
        <v>447</v>
      </c>
      <c r="I60" s="7" t="s">
        <v>406</v>
      </c>
      <c r="J60" s="7" t="s">
        <v>448</v>
      </c>
      <c r="K60" s="7" t="s">
        <v>449</v>
      </c>
      <c r="L60" s="8">
        <f t="array" ref="L60">ROUND(AVERAGE(VALUE(D60:K60))/10000,4)</f>
        <v>0.5612</v>
      </c>
      <c r="M60" s="8">
        <f t="array" ref="M60">ROUND(MIN(VALUE(E60:K60))/10000,4)</f>
        <v>0.2572</v>
      </c>
      <c r="N60" s="4"/>
      <c r="O60" s="4"/>
      <c r="P60" s="4"/>
      <c r="Q60" s="4"/>
      <c r="R60" s="4"/>
      <c r="S60" s="4"/>
      <c r="T60" s="4"/>
      <c r="U60" s="4"/>
      <c r="V60" s="4"/>
    </row>
    <row r="61" ht="22.5" customHeight="1">
      <c r="A61" s="5" t="s">
        <v>313</v>
      </c>
      <c r="B61" s="6" t="s">
        <v>183</v>
      </c>
      <c r="C61" s="2" t="s">
        <v>450</v>
      </c>
      <c r="D61" s="7" t="s">
        <v>451</v>
      </c>
      <c r="E61" s="7" t="s">
        <v>452</v>
      </c>
      <c r="F61" s="7" t="s">
        <v>453</v>
      </c>
      <c r="G61" s="7" t="s">
        <v>454</v>
      </c>
      <c r="H61" s="7" t="s">
        <v>455</v>
      </c>
      <c r="I61" s="7" t="s">
        <v>456</v>
      </c>
      <c r="J61" s="7" t="s">
        <v>457</v>
      </c>
      <c r="K61" s="7" t="s">
        <v>458</v>
      </c>
      <c r="L61" s="8">
        <f t="array" ref="L61">ROUND(AVERAGE(VALUE(D61:K61))/10000,4)</f>
        <v>0.5639</v>
      </c>
      <c r="M61" s="8">
        <f t="array" ref="M61">ROUND(MIN(VALUE(E61:K61))/10000,4)</f>
        <v>0.2601</v>
      </c>
      <c r="N61" s="4"/>
      <c r="O61" s="4"/>
      <c r="P61" s="4"/>
      <c r="Q61" s="4"/>
      <c r="R61" s="4"/>
      <c r="S61" s="4"/>
      <c r="T61" s="4"/>
      <c r="U61" s="4"/>
      <c r="V61" s="4"/>
    </row>
    <row r="62" ht="22.5" customHeight="1">
      <c r="A62" s="5" t="s">
        <v>459</v>
      </c>
      <c r="B62" s="6" t="s">
        <v>14</v>
      </c>
      <c r="C62" s="14" t="s">
        <v>460</v>
      </c>
      <c r="D62" s="7" t="s">
        <v>351</v>
      </c>
      <c r="E62" s="7" t="s">
        <v>461</v>
      </c>
      <c r="F62" s="7" t="s">
        <v>462</v>
      </c>
      <c r="G62" s="7" t="s">
        <v>463</v>
      </c>
      <c r="H62" s="7" t="s">
        <v>464</v>
      </c>
      <c r="I62" s="7" t="s">
        <v>465</v>
      </c>
      <c r="J62" s="7" t="s">
        <v>466</v>
      </c>
      <c r="K62" s="7" t="s">
        <v>467</v>
      </c>
      <c r="L62" s="8">
        <f t="array" ref="L62">ROUND(AVERAGE(VALUE(D62:K62))/10000,4)</f>
        <v>0.6101</v>
      </c>
      <c r="M62" s="8">
        <f t="array" ref="M62">ROUND(MIN(VALUE(E62:K62))/10000,4)</f>
        <v>0.4984</v>
      </c>
      <c r="N62" s="4"/>
      <c r="O62" s="4"/>
      <c r="P62" s="4"/>
      <c r="Q62" s="4"/>
      <c r="R62" s="4"/>
      <c r="S62" s="4"/>
      <c r="T62" s="4"/>
      <c r="U62" s="4"/>
      <c r="V62" s="4"/>
    </row>
    <row r="63" ht="22.5" customHeight="1">
      <c r="A63" s="5" t="s">
        <v>459</v>
      </c>
      <c r="B63" s="6" t="s">
        <v>24</v>
      </c>
      <c r="C63" s="2" t="s">
        <v>468</v>
      </c>
      <c r="D63" s="7" t="s">
        <v>267</v>
      </c>
      <c r="E63" s="7" t="s">
        <v>469</v>
      </c>
      <c r="F63" s="7" t="s">
        <v>470</v>
      </c>
      <c r="G63" s="7" t="s">
        <v>471</v>
      </c>
      <c r="H63" s="7" t="s">
        <v>472</v>
      </c>
      <c r="I63" s="7" t="s">
        <v>473</v>
      </c>
      <c r="J63" s="7" t="s">
        <v>474</v>
      </c>
      <c r="K63" s="7" t="s">
        <v>475</v>
      </c>
      <c r="L63" s="8">
        <f t="array" ref="L63">ROUND(AVERAGE(VALUE(D63:K63))/10000,4)</f>
        <v>0.6074</v>
      </c>
      <c r="M63" s="8">
        <f t="array" ref="M63">ROUND(MIN(VALUE(E63:K63))/10000,4)</f>
        <v>0.4969</v>
      </c>
      <c r="N63" s="4"/>
      <c r="O63" s="4"/>
      <c r="P63" s="4"/>
      <c r="Q63" s="4"/>
      <c r="R63" s="4"/>
      <c r="S63" s="4"/>
      <c r="T63" s="4"/>
      <c r="U63" s="4"/>
      <c r="V63" s="4"/>
    </row>
    <row r="64" ht="22.5" customHeight="1">
      <c r="A64" s="5" t="s">
        <v>459</v>
      </c>
      <c r="B64" s="6" t="s">
        <v>34</v>
      </c>
      <c r="C64" s="2" t="s">
        <v>476</v>
      </c>
      <c r="D64" s="7" t="s">
        <v>477</v>
      </c>
      <c r="E64" s="7" t="s">
        <v>197</v>
      </c>
      <c r="F64" s="7" t="s">
        <v>478</v>
      </c>
      <c r="G64" s="7" t="s">
        <v>479</v>
      </c>
      <c r="H64" s="7" t="s">
        <v>480</v>
      </c>
      <c r="I64" s="7" t="s">
        <v>481</v>
      </c>
      <c r="J64" s="7" t="s">
        <v>482</v>
      </c>
      <c r="K64" s="7" t="s">
        <v>483</v>
      </c>
      <c r="L64" s="8">
        <f t="array" ref="L64">ROUND(AVERAGE(VALUE(D64:K64))/10000,4)</f>
        <v>0.6044</v>
      </c>
      <c r="M64" s="8">
        <f t="array" ref="M64">ROUND(MIN(VALUE(E64:K64))/10000,4)</f>
        <v>0.4966</v>
      </c>
      <c r="N64" s="4"/>
      <c r="O64" s="4"/>
      <c r="P64" s="4"/>
      <c r="Q64" s="4"/>
      <c r="R64" s="4"/>
      <c r="S64" s="4"/>
      <c r="T64" s="4"/>
      <c r="U64" s="4"/>
      <c r="V64" s="4"/>
    </row>
    <row r="65" ht="22.5" customHeight="1">
      <c r="A65" s="5" t="s">
        <v>459</v>
      </c>
      <c r="B65" s="6" t="s">
        <v>44</v>
      </c>
      <c r="C65" s="2" t="s">
        <v>484</v>
      </c>
      <c r="D65" s="7" t="s">
        <v>485</v>
      </c>
      <c r="E65" s="7" t="s">
        <v>486</v>
      </c>
      <c r="F65" s="7" t="s">
        <v>371</v>
      </c>
      <c r="G65" s="7" t="s">
        <v>487</v>
      </c>
      <c r="H65" s="7" t="s">
        <v>488</v>
      </c>
      <c r="I65" s="7" t="s">
        <v>489</v>
      </c>
      <c r="J65" s="7" t="s">
        <v>490</v>
      </c>
      <c r="K65" s="7" t="s">
        <v>491</v>
      </c>
      <c r="L65" s="8">
        <f t="array" ref="L65">ROUND(AVERAGE(VALUE(D65:K65))/10000,4)</f>
        <v>0.6064</v>
      </c>
      <c r="M65" s="8">
        <f t="array" ref="M65">ROUND(MIN(VALUE(E65:K65))/10000,4)</f>
        <v>0.4978</v>
      </c>
      <c r="N65" s="4"/>
      <c r="O65" s="4"/>
      <c r="P65" s="4"/>
      <c r="Q65" s="4"/>
      <c r="R65" s="4"/>
      <c r="S65" s="4"/>
      <c r="T65" s="4"/>
      <c r="U65" s="4"/>
      <c r="V65" s="4"/>
    </row>
    <row r="66" ht="22.5" customHeight="1">
      <c r="A66" s="5" t="s">
        <v>459</v>
      </c>
      <c r="B66" s="6" t="s">
        <v>53</v>
      </c>
      <c r="C66" s="2" t="s">
        <v>492</v>
      </c>
      <c r="D66" s="7" t="s">
        <v>56</v>
      </c>
      <c r="E66" s="7" t="s">
        <v>493</v>
      </c>
      <c r="F66" s="7" t="s">
        <v>278</v>
      </c>
      <c r="G66" s="7" t="s">
        <v>494</v>
      </c>
      <c r="H66" s="7" t="s">
        <v>495</v>
      </c>
      <c r="I66" s="7" t="s">
        <v>496</v>
      </c>
      <c r="J66" s="7" t="s">
        <v>497</v>
      </c>
      <c r="K66" s="7" t="s">
        <v>498</v>
      </c>
      <c r="L66" s="8">
        <f t="array" ref="L66">ROUND(AVERAGE(VALUE(D66:K66))/10000,4)</f>
        <v>0.6066</v>
      </c>
      <c r="M66" s="8">
        <f t="array" ref="M66">ROUND(MIN(VALUE(E66:K66))/10000,4)</f>
        <v>0.4944</v>
      </c>
      <c r="N66" s="4"/>
      <c r="O66" s="4"/>
      <c r="P66" s="4"/>
      <c r="Q66" s="4"/>
      <c r="R66" s="4"/>
      <c r="S66" s="4"/>
      <c r="T66" s="4"/>
      <c r="U66" s="4"/>
      <c r="V66" s="4"/>
    </row>
    <row r="67" ht="22.5" customHeight="1">
      <c r="A67" s="5" t="s">
        <v>459</v>
      </c>
      <c r="B67" s="6" t="s">
        <v>63</v>
      </c>
      <c r="C67" s="2" t="s">
        <v>499</v>
      </c>
      <c r="D67" s="7" t="s">
        <v>335</v>
      </c>
      <c r="E67" s="7" t="s">
        <v>27</v>
      </c>
      <c r="F67" s="7" t="s">
        <v>500</v>
      </c>
      <c r="G67" s="7" t="s">
        <v>501</v>
      </c>
      <c r="H67" s="7" t="s">
        <v>495</v>
      </c>
      <c r="I67" s="7" t="s">
        <v>502</v>
      </c>
      <c r="J67" s="7" t="s">
        <v>503</v>
      </c>
      <c r="K67" s="7" t="s">
        <v>475</v>
      </c>
      <c r="L67" s="8">
        <f t="array" ref="L67">ROUND(AVERAGE(VALUE(D67:K67))/10000,4)</f>
        <v>0.6081</v>
      </c>
      <c r="M67" s="8">
        <f t="array" ref="M67">ROUND(MIN(VALUE(E67:K67))/10000,4)</f>
        <v>0.4969</v>
      </c>
      <c r="N67" s="4"/>
      <c r="O67" s="4"/>
      <c r="P67" s="4"/>
      <c r="Q67" s="4"/>
      <c r="R67" s="4"/>
      <c r="S67" s="4"/>
      <c r="T67" s="4"/>
      <c r="U67" s="4"/>
      <c r="V67" s="4"/>
    </row>
    <row r="68" ht="22.5" customHeight="1">
      <c r="A68" s="5" t="s">
        <v>459</v>
      </c>
      <c r="B68" s="6" t="s">
        <v>73</v>
      </c>
      <c r="C68" s="2" t="s">
        <v>504</v>
      </c>
      <c r="D68" s="7" t="s">
        <v>505</v>
      </c>
      <c r="E68" s="7" t="s">
        <v>506</v>
      </c>
      <c r="F68" s="7" t="s">
        <v>507</v>
      </c>
      <c r="G68" s="7" t="s">
        <v>508</v>
      </c>
      <c r="H68" s="7" t="s">
        <v>509</v>
      </c>
      <c r="I68" s="7" t="s">
        <v>510</v>
      </c>
      <c r="J68" s="7" t="s">
        <v>511</v>
      </c>
      <c r="K68" s="7" t="s">
        <v>512</v>
      </c>
      <c r="L68" s="8">
        <f t="array" ref="L68">ROUND(AVERAGE(VALUE(D68:K68))/10000,4)</f>
        <v>0.6021</v>
      </c>
      <c r="M68" s="8">
        <f t="array" ref="M68">ROUND(MIN(VALUE(E68:K68))/10000,4)</f>
        <v>0.4987</v>
      </c>
      <c r="N68" s="4"/>
      <c r="O68" s="4"/>
      <c r="P68" s="4"/>
      <c r="Q68" s="4"/>
      <c r="R68" s="4"/>
      <c r="S68" s="4"/>
      <c r="T68" s="4"/>
      <c r="U68" s="4"/>
      <c r="V68" s="4"/>
    </row>
    <row r="69" ht="22.5" customHeight="1">
      <c r="A69" s="5" t="s">
        <v>459</v>
      </c>
      <c r="B69" s="6" t="s">
        <v>80</v>
      </c>
      <c r="C69" s="2" t="s">
        <v>513</v>
      </c>
      <c r="D69" s="7" t="s">
        <v>514</v>
      </c>
      <c r="E69" s="7" t="s">
        <v>398</v>
      </c>
      <c r="F69" s="7" t="s">
        <v>515</v>
      </c>
      <c r="G69" s="7" t="s">
        <v>516</v>
      </c>
      <c r="H69" s="7" t="s">
        <v>517</v>
      </c>
      <c r="I69" s="7" t="s">
        <v>510</v>
      </c>
      <c r="J69" s="7" t="s">
        <v>518</v>
      </c>
      <c r="K69" s="7" t="s">
        <v>519</v>
      </c>
      <c r="L69" s="8">
        <f t="array" ref="L69">ROUND(AVERAGE(VALUE(D69:K69))/10000,4)</f>
        <v>0.6051</v>
      </c>
      <c r="M69" s="8">
        <f t="array" ref="M69">ROUND(MIN(VALUE(E69:K69))/10000,4)</f>
        <v>0.4962</v>
      </c>
      <c r="N69" s="4"/>
      <c r="O69" s="4"/>
      <c r="P69" s="4"/>
      <c r="Q69" s="4"/>
      <c r="R69" s="4"/>
      <c r="S69" s="4"/>
      <c r="T69" s="4"/>
      <c r="U69" s="4"/>
      <c r="V69" s="4"/>
    </row>
    <row r="70" ht="22.5" customHeight="1">
      <c r="A70" s="5" t="s">
        <v>459</v>
      </c>
      <c r="B70" s="6" t="s">
        <v>90</v>
      </c>
      <c r="C70" s="2" t="s">
        <v>520</v>
      </c>
      <c r="D70" s="7" t="s">
        <v>282</v>
      </c>
      <c r="E70" s="7" t="s">
        <v>521</v>
      </c>
      <c r="F70" s="7" t="s">
        <v>522</v>
      </c>
      <c r="G70" s="7" t="s">
        <v>471</v>
      </c>
      <c r="H70" s="7" t="s">
        <v>523</v>
      </c>
      <c r="I70" s="7" t="s">
        <v>524</v>
      </c>
      <c r="J70" s="7" t="s">
        <v>525</v>
      </c>
      <c r="K70" s="7" t="s">
        <v>467</v>
      </c>
      <c r="L70" s="8">
        <f t="array" ref="L70">ROUND(AVERAGE(VALUE(D70:K70))/10000,4)</f>
        <v>0.6072</v>
      </c>
      <c r="M70" s="8">
        <f t="array" ref="M70">ROUND(MIN(VALUE(E70:K70))/10000,4)</f>
        <v>0.4984</v>
      </c>
      <c r="N70" s="4"/>
      <c r="O70" s="4"/>
      <c r="P70" s="4"/>
      <c r="Q70" s="4"/>
      <c r="R70" s="4"/>
      <c r="S70" s="4"/>
      <c r="T70" s="4"/>
      <c r="U70" s="4"/>
      <c r="V70" s="4"/>
    </row>
    <row r="71" ht="22.5" customHeight="1">
      <c r="A71" s="5" t="s">
        <v>459</v>
      </c>
      <c r="B71" s="6" t="s">
        <v>100</v>
      </c>
      <c r="C71" s="2" t="s">
        <v>526</v>
      </c>
      <c r="D71" s="7" t="s">
        <v>149</v>
      </c>
      <c r="E71" s="7" t="s">
        <v>527</v>
      </c>
      <c r="F71" s="7" t="s">
        <v>528</v>
      </c>
      <c r="G71" s="7" t="s">
        <v>529</v>
      </c>
      <c r="H71" s="7" t="s">
        <v>530</v>
      </c>
      <c r="I71" s="7" t="s">
        <v>531</v>
      </c>
      <c r="J71" s="7" t="s">
        <v>532</v>
      </c>
      <c r="K71" s="7" t="s">
        <v>533</v>
      </c>
      <c r="L71" s="8">
        <f t="array" ref="L71">ROUND(AVERAGE(VALUE(D71:K71))/10000,4)</f>
        <v>0.6064</v>
      </c>
      <c r="M71" s="8">
        <f t="array" ref="M71">ROUND(MIN(VALUE(E71:K71))/10000,4)</f>
        <v>0.4939</v>
      </c>
      <c r="N71" s="4"/>
      <c r="O71" s="4"/>
      <c r="P71" s="4"/>
      <c r="Q71" s="4"/>
      <c r="R71" s="4"/>
      <c r="S71" s="4"/>
      <c r="T71" s="4"/>
      <c r="U71" s="4"/>
      <c r="V71" s="4"/>
    </row>
    <row r="72" ht="22.5" customHeight="1">
      <c r="A72" s="5" t="s">
        <v>459</v>
      </c>
      <c r="B72" s="6" t="s">
        <v>109</v>
      </c>
      <c r="C72" s="2" t="s">
        <v>534</v>
      </c>
      <c r="D72" s="7" t="s">
        <v>535</v>
      </c>
      <c r="E72" s="7" t="s">
        <v>536</v>
      </c>
      <c r="F72" s="7" t="s">
        <v>312</v>
      </c>
      <c r="G72" s="7" t="s">
        <v>537</v>
      </c>
      <c r="H72" s="7" t="s">
        <v>538</v>
      </c>
      <c r="I72" s="7" t="s">
        <v>539</v>
      </c>
      <c r="J72" s="7" t="s">
        <v>540</v>
      </c>
      <c r="K72" s="7" t="s">
        <v>541</v>
      </c>
      <c r="L72" s="8">
        <f t="array" ref="L72">ROUND(AVERAGE(VALUE(D72:K72))/10000,4)</f>
        <v>0.6071</v>
      </c>
      <c r="M72" s="8">
        <f t="array" ref="M72">ROUND(MIN(VALUE(E72:K72))/10000,4)</f>
        <v>0.4977</v>
      </c>
      <c r="N72" s="4"/>
      <c r="O72" s="4"/>
      <c r="P72" s="4"/>
      <c r="Q72" s="4"/>
      <c r="R72" s="4"/>
      <c r="S72" s="4"/>
      <c r="T72" s="4"/>
      <c r="U72" s="4"/>
      <c r="V72" s="4"/>
    </row>
    <row r="73" ht="22.5" customHeight="1">
      <c r="A73" s="5" t="s">
        <v>459</v>
      </c>
      <c r="B73" s="6" t="s">
        <v>118</v>
      </c>
      <c r="C73" s="2" t="s">
        <v>542</v>
      </c>
      <c r="D73" s="7" t="s">
        <v>58</v>
      </c>
      <c r="E73" s="7" t="s">
        <v>428</v>
      </c>
      <c r="F73" s="7" t="s">
        <v>463</v>
      </c>
      <c r="G73" s="7" t="s">
        <v>543</v>
      </c>
      <c r="H73" s="7" t="s">
        <v>544</v>
      </c>
      <c r="I73" s="7" t="s">
        <v>545</v>
      </c>
      <c r="J73" s="7" t="s">
        <v>546</v>
      </c>
      <c r="K73" s="7" t="s">
        <v>547</v>
      </c>
      <c r="L73" s="8">
        <f t="array" ref="L73">ROUND(AVERAGE(VALUE(D73:K73))/10000,4)</f>
        <v>0.5975</v>
      </c>
      <c r="M73" s="8">
        <f t="array" ref="M73">ROUND(MIN(VALUE(E73:K73))/10000,4)</f>
        <v>0.4946</v>
      </c>
      <c r="N73" s="4"/>
      <c r="O73" s="4"/>
      <c r="P73" s="4"/>
      <c r="Q73" s="4"/>
      <c r="R73" s="4"/>
      <c r="S73" s="4"/>
      <c r="T73" s="4"/>
      <c r="U73" s="4"/>
      <c r="V73" s="4"/>
    </row>
    <row r="74" ht="22.5" customHeight="1">
      <c r="A74" s="5" t="s">
        <v>459</v>
      </c>
      <c r="B74" s="6" t="s">
        <v>127</v>
      </c>
      <c r="C74" s="2" t="s">
        <v>548</v>
      </c>
      <c r="D74" s="7" t="s">
        <v>149</v>
      </c>
      <c r="E74" s="7" t="s">
        <v>549</v>
      </c>
      <c r="F74" s="7" t="s">
        <v>550</v>
      </c>
      <c r="G74" s="7" t="s">
        <v>551</v>
      </c>
      <c r="H74" s="7" t="s">
        <v>552</v>
      </c>
      <c r="I74" s="7" t="s">
        <v>553</v>
      </c>
      <c r="J74" s="7" t="s">
        <v>554</v>
      </c>
      <c r="K74" s="7" t="s">
        <v>555</v>
      </c>
      <c r="L74" s="8">
        <f t="array" ref="L74">ROUND(AVERAGE(VALUE(D74:K74))/10000,4)</f>
        <v>0.6056</v>
      </c>
      <c r="M74" s="8">
        <f t="array" ref="M74">ROUND(MIN(VALUE(E74:K74))/10000,4)</f>
        <v>0.4979</v>
      </c>
      <c r="N74" s="4"/>
      <c r="O74" s="4"/>
      <c r="P74" s="4"/>
      <c r="Q74" s="4"/>
      <c r="R74" s="4"/>
      <c r="S74" s="4"/>
      <c r="T74" s="4"/>
      <c r="U74" s="4"/>
      <c r="V74" s="4"/>
    </row>
    <row r="75" ht="22.5" customHeight="1">
      <c r="A75" s="5" t="s">
        <v>459</v>
      </c>
      <c r="B75" s="6" t="s">
        <v>135</v>
      </c>
      <c r="C75" s="2" t="s">
        <v>556</v>
      </c>
      <c r="D75" s="7" t="s">
        <v>149</v>
      </c>
      <c r="E75" s="7" t="s">
        <v>224</v>
      </c>
      <c r="F75" s="7" t="s">
        <v>557</v>
      </c>
      <c r="G75" s="7" t="s">
        <v>558</v>
      </c>
      <c r="H75" s="7" t="s">
        <v>538</v>
      </c>
      <c r="I75" s="7" t="s">
        <v>559</v>
      </c>
      <c r="J75" s="7" t="s">
        <v>560</v>
      </c>
      <c r="K75" s="7" t="s">
        <v>561</v>
      </c>
      <c r="L75" s="8">
        <f t="array" ref="L75">ROUND(AVERAGE(VALUE(D75:K75))/10000,4)</f>
        <v>0.6031</v>
      </c>
      <c r="M75" s="8">
        <f t="array" ref="M75">ROUND(MIN(VALUE(E75:K75))/10000,4)</f>
        <v>0.4951</v>
      </c>
      <c r="N75" s="4"/>
      <c r="O75" s="4"/>
      <c r="P75" s="4"/>
      <c r="Q75" s="4"/>
      <c r="R75" s="4"/>
      <c r="S75" s="4"/>
      <c r="T75" s="4"/>
      <c r="U75" s="4"/>
      <c r="V75" s="4"/>
    </row>
    <row r="76" ht="22.5" customHeight="1">
      <c r="A76" s="5" t="s">
        <v>459</v>
      </c>
      <c r="B76" s="6" t="s">
        <v>145</v>
      </c>
      <c r="C76" s="2" t="s">
        <v>562</v>
      </c>
      <c r="D76" s="7" t="s">
        <v>469</v>
      </c>
      <c r="E76" s="7" t="s">
        <v>563</v>
      </c>
      <c r="F76" s="7" t="s">
        <v>470</v>
      </c>
      <c r="G76" s="7" t="s">
        <v>564</v>
      </c>
      <c r="H76" s="7" t="s">
        <v>565</v>
      </c>
      <c r="I76" s="7" t="s">
        <v>566</v>
      </c>
      <c r="J76" s="7" t="s">
        <v>567</v>
      </c>
      <c r="K76" s="7" t="s">
        <v>568</v>
      </c>
      <c r="L76" s="8">
        <f t="array" ref="L76">ROUND(AVERAGE(VALUE(D76:K76))/10000,4)</f>
        <v>0.6075</v>
      </c>
      <c r="M76" s="8">
        <f t="array" ref="M76">ROUND(MIN(VALUE(E76:K76))/10000,4)</f>
        <v>0.4959</v>
      </c>
      <c r="N76" s="4"/>
      <c r="O76" s="4"/>
      <c r="P76" s="4"/>
      <c r="Q76" s="4"/>
      <c r="R76" s="4"/>
      <c r="S76" s="4"/>
      <c r="T76" s="4"/>
      <c r="U76" s="4"/>
      <c r="V76" s="4"/>
    </row>
    <row r="77" ht="22.5" customHeight="1">
      <c r="A77" s="5" t="s">
        <v>459</v>
      </c>
      <c r="B77" s="6" t="s">
        <v>154</v>
      </c>
      <c r="C77" s="2" t="s">
        <v>569</v>
      </c>
      <c r="D77" s="7" t="s">
        <v>570</v>
      </c>
      <c r="E77" s="7" t="s">
        <v>549</v>
      </c>
      <c r="F77" s="7" t="s">
        <v>571</v>
      </c>
      <c r="G77" s="7" t="s">
        <v>572</v>
      </c>
      <c r="H77" s="7" t="s">
        <v>573</v>
      </c>
      <c r="I77" s="7" t="s">
        <v>574</v>
      </c>
      <c r="J77" s="7" t="s">
        <v>575</v>
      </c>
      <c r="K77" s="7" t="s">
        <v>561</v>
      </c>
      <c r="L77" s="8">
        <f t="array" ref="L77">ROUND(AVERAGE(VALUE(D77:K77))/10000,4)</f>
        <v>0.6057</v>
      </c>
      <c r="M77" s="8">
        <f t="array" ref="M77">ROUND(MIN(VALUE(E77:K77))/10000,4)</f>
        <v>0.4951</v>
      </c>
      <c r="N77" s="4"/>
      <c r="O77" s="4"/>
      <c r="P77" s="4"/>
      <c r="Q77" s="4"/>
      <c r="R77" s="4"/>
      <c r="S77" s="4"/>
      <c r="T77" s="4"/>
      <c r="U77" s="4"/>
      <c r="V77" s="4"/>
    </row>
    <row r="78" ht="22.5" customHeight="1">
      <c r="A78" s="5" t="s">
        <v>459</v>
      </c>
      <c r="B78" s="6" t="s">
        <v>157</v>
      </c>
      <c r="C78" s="2" t="s">
        <v>576</v>
      </c>
      <c r="D78" s="7" t="s">
        <v>577</v>
      </c>
      <c r="E78" s="7" t="s">
        <v>150</v>
      </c>
      <c r="F78" s="7" t="s">
        <v>578</v>
      </c>
      <c r="G78" s="7" t="s">
        <v>579</v>
      </c>
      <c r="H78" s="7" t="s">
        <v>580</v>
      </c>
      <c r="I78" s="7" t="s">
        <v>581</v>
      </c>
      <c r="J78" s="7" t="s">
        <v>582</v>
      </c>
      <c r="K78" s="7" t="s">
        <v>583</v>
      </c>
      <c r="L78" s="8">
        <f t="array" ref="L78">ROUND(AVERAGE(VALUE(D78:K78))/10000,4)</f>
        <v>0.6027</v>
      </c>
      <c r="M78" s="8">
        <f t="array" ref="M78">ROUND(MIN(VALUE(E78:K78))/10000,4)</f>
        <v>0.4971</v>
      </c>
      <c r="N78" s="4"/>
      <c r="O78" s="4"/>
      <c r="P78" s="4"/>
      <c r="Q78" s="4"/>
      <c r="R78" s="4"/>
      <c r="S78" s="4"/>
      <c r="T78" s="4"/>
      <c r="U78" s="4"/>
      <c r="V78" s="4"/>
    </row>
    <row r="79" ht="22.5" customHeight="1">
      <c r="A79" s="5" t="s">
        <v>459</v>
      </c>
      <c r="B79" s="15">
        <v>7777.0</v>
      </c>
      <c r="C79" s="2" t="s">
        <v>584</v>
      </c>
      <c r="D79" s="16" t="s">
        <v>585</v>
      </c>
      <c r="E79" s="16" t="s">
        <v>586</v>
      </c>
      <c r="F79" s="16" t="s">
        <v>587</v>
      </c>
      <c r="G79" s="16" t="s">
        <v>588</v>
      </c>
      <c r="H79" s="16" t="s">
        <v>530</v>
      </c>
      <c r="I79" s="16" t="s">
        <v>589</v>
      </c>
      <c r="J79" s="16" t="s">
        <v>590</v>
      </c>
      <c r="K79" s="16" t="s">
        <v>591</v>
      </c>
      <c r="L79" s="8">
        <f t="array" ref="L79">ROUND(AVERAGE(VALUE(D79:K79))/10000,4)</f>
        <v>0.6073</v>
      </c>
      <c r="M79" s="8">
        <f t="array" ref="M79">ROUND(MIN(VALUE(E79:K79))/10000,4)</f>
        <v>0.4955</v>
      </c>
      <c r="N79" s="4"/>
      <c r="O79" s="4"/>
      <c r="P79" s="4"/>
      <c r="Q79" s="4"/>
      <c r="R79" s="4"/>
      <c r="S79" s="4"/>
      <c r="T79" s="4"/>
      <c r="U79" s="4"/>
      <c r="V79" s="4"/>
    </row>
    <row r="80" ht="22.5" customHeight="1">
      <c r="A80" s="5" t="s">
        <v>459</v>
      </c>
      <c r="B80" s="6" t="s">
        <v>173</v>
      </c>
      <c r="C80" s="2" t="s">
        <v>592</v>
      </c>
      <c r="D80" s="7" t="s">
        <v>365</v>
      </c>
      <c r="E80" s="7" t="s">
        <v>224</v>
      </c>
      <c r="F80" s="7" t="s">
        <v>593</v>
      </c>
      <c r="G80" s="7" t="s">
        <v>594</v>
      </c>
      <c r="H80" s="7" t="s">
        <v>595</v>
      </c>
      <c r="I80" s="7" t="s">
        <v>596</v>
      </c>
      <c r="J80" s="7" t="s">
        <v>597</v>
      </c>
      <c r="K80" s="7" t="s">
        <v>598</v>
      </c>
      <c r="L80" s="8">
        <f t="array" ref="L80">ROUND(AVERAGE(VALUE(D80:K80))/10000,4)</f>
        <v>0.5982</v>
      </c>
      <c r="M80" s="8">
        <f t="array" ref="M80">ROUND(MIN(VALUE(E80:K80))/10000,4)</f>
        <v>0.4947</v>
      </c>
      <c r="N80" s="4"/>
      <c r="O80" s="4"/>
      <c r="P80" s="4"/>
      <c r="Q80" s="4"/>
      <c r="R80" s="4"/>
      <c r="S80" s="4"/>
      <c r="T80" s="4"/>
      <c r="U80" s="4"/>
      <c r="V80" s="4"/>
    </row>
    <row r="81" ht="22.5" customHeight="1">
      <c r="A81" s="5" t="s">
        <v>459</v>
      </c>
      <c r="B81" s="6" t="s">
        <v>183</v>
      </c>
      <c r="C81" s="2" t="s">
        <v>599</v>
      </c>
      <c r="D81" s="7" t="s">
        <v>446</v>
      </c>
      <c r="E81" s="7" t="s">
        <v>600</v>
      </c>
      <c r="F81" s="7" t="s">
        <v>601</v>
      </c>
      <c r="G81" s="7" t="s">
        <v>602</v>
      </c>
      <c r="H81" s="7" t="s">
        <v>603</v>
      </c>
      <c r="I81" s="7" t="s">
        <v>604</v>
      </c>
      <c r="J81" s="7" t="s">
        <v>605</v>
      </c>
      <c r="K81" s="7" t="s">
        <v>606</v>
      </c>
      <c r="L81" s="8">
        <f t="array" ref="L81">ROUND(AVERAGE(VALUE(D81:K81))/10000,4)</f>
        <v>0.6013</v>
      </c>
      <c r="M81" s="8">
        <f t="array" ref="M81">ROUND(MIN(VALUE(E81:K81))/10000,4)</f>
        <v>0.4993</v>
      </c>
      <c r="N81" s="4"/>
      <c r="O81" s="4"/>
      <c r="P81" s="4"/>
      <c r="Q81" s="4"/>
      <c r="R81" s="4"/>
      <c r="S81" s="4"/>
      <c r="T81" s="4"/>
      <c r="U81" s="4"/>
      <c r="V81" s="4"/>
    </row>
  </sheetData>
  <dataValidations>
    <dataValidation type="list" allowBlank="1" showDropDown="1" showErrorMessage="1" sqref="B2:B81">
      <formula1>"7,13,21,73,101,123,202,314,456,512,789,999,1024,1337,2048,4096,7777,12345,202405,42,7777"</formula1>
    </dataValidation>
  </dataValidations>
  <drawing r:id="rId1"/>
  <tableParts count="1">
    <tablePart r:id="rId3"/>
  </tableParts>
</worksheet>
</file>